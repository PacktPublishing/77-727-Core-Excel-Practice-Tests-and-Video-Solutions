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1\"/>
    </mc:Choice>
  </mc:AlternateContent>
  <bookViews>
    <workbookView xWindow="0" yWindow="0" windowWidth="19200" windowHeight="7620" activeTab="1"/>
  </bookViews>
  <sheets>
    <sheet name="Daily Income" sheetId="1" r:id="rId1"/>
    <sheet name="Destination Daily Income Chart" sheetId="5" r:id="rId2"/>
  </sheets>
  <definedNames>
    <definedName name="test">#REF!,#REF!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" i="5" l="1"/>
  <c r="C14" i="1" l="1"/>
  <c r="D14" i="1"/>
  <c r="E14" i="1"/>
  <c r="F14" i="1"/>
  <c r="G14" i="1"/>
  <c r="H14" i="1"/>
  <c r="I14" i="1"/>
  <c r="J14" i="1"/>
  <c r="K14" i="1"/>
  <c r="B14" i="1"/>
  <c r="M3" i="5" l="1"/>
  <c r="M4" i="5"/>
  <c r="M5" i="5"/>
  <c r="M6" i="5"/>
  <c r="M7" i="5"/>
  <c r="M8" i="5"/>
  <c r="M9" i="5"/>
  <c r="M10" i="5"/>
  <c r="M11" i="5"/>
  <c r="M12" i="5"/>
  <c r="M2" i="5"/>
</calcChain>
</file>

<file path=xl/sharedStrings.xml><?xml version="1.0" encoding="utf-8"?>
<sst xmlns="http://schemas.openxmlformats.org/spreadsheetml/2006/main" count="48" uniqueCount="14">
  <si>
    <t>Departure Airport</t>
  </si>
  <si>
    <t>Dublin</t>
  </si>
  <si>
    <t>Arricife</t>
  </si>
  <si>
    <t>Lanzarote</t>
  </si>
  <si>
    <t>Madrid</t>
  </si>
  <si>
    <t>Tenerife</t>
  </si>
  <si>
    <t>Zante</t>
  </si>
  <si>
    <t>Paris</t>
  </si>
  <si>
    <t>Heathrow</t>
  </si>
  <si>
    <t>Pula</t>
  </si>
  <si>
    <t>London City</t>
  </si>
  <si>
    <t>Total</t>
  </si>
  <si>
    <t>Cork</t>
  </si>
  <si>
    <t>Daily Income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</si>
</sst>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€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0" borderId="0" xfId="0" applyNumberFormat="1"/>
    <xf numFmtId="0" fontId="1" fillId="0" borderId="1" xfId="0" applyFont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0" fillId="3" borderId="3" xfId="0" applyFont="1" applyFill="1" applyBorder="1"/>
    <xf numFmtId="164" fontId="0" fillId="3" borderId="4" xfId="0" applyNumberFormat="1" applyFont="1" applyFill="1" applyBorder="1"/>
    <xf numFmtId="164" fontId="0" fillId="3" borderId="5" xfId="0" applyNumberFormat="1" applyFont="1" applyFill="1" applyBorder="1"/>
    <xf numFmtId="0" fontId="0" fillId="0" borderId="3" xfId="0" applyFont="1" applyBorder="1"/>
    <xf numFmtId="164" fontId="0" fillId="0" borderId="4" xfId="0" applyNumberFormat="1" applyFont="1" applyBorder="1"/>
    <xf numFmtId="164" fontId="0" fillId="0" borderId="5" xfId="0" applyNumberFormat="1" applyFont="1" applyBorder="1"/>
    <xf numFmtId="0" fontId="2" fillId="2" borderId="0" xfId="0" applyFont="1" applyFill="1" applyBorder="1"/>
    <xf numFmtId="0" fontId="0" fillId="3" borderId="4" xfId="0" applyFont="1" applyFill="1" applyBorder="1"/>
    <xf numFmtId="0" fontId="0" fillId="0" borderId="4" xfId="0" applyFont="1" applyBorder="1"/>
    <xf numFmtId="164" fontId="0" fillId="0" borderId="2" xfId="0" applyNumberFormat="1" applyFont="1" applyBorder="1"/>
    <xf numFmtId="0" fontId="0" fillId="3" borderId="0" xfId="0" applyFont="1" applyFill="1" applyBorder="1"/>
    <xf numFmtId="164" fontId="0" fillId="3" borderId="0" xfId="0" applyNumberFormat="1" applyFont="1" applyFill="1" applyBorder="1"/>
    <xf numFmtId="164" fontId="3" fillId="0" borderId="0" xfId="0" applyNumberFormat="1" applyFont="1"/>
    <xf numFmtId="0" fontId="4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</cellXfs>
  <cellStyles count="1"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7CF6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'Destination Daily Income Chart'!$M$1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'Destination Daily Income Chart'!$A$2:$A$10</c:f>
              <c:strCache>
                <c:ptCount val="9"/>
                <c:pt idx="0">
                  <c:v>Dublin</c:v>
                </c:pt>
                <c:pt idx="1">
                  <c:v>Arricife</c:v>
                </c:pt>
                <c:pt idx="2">
                  <c:v>Lanzarote</c:v>
                </c:pt>
                <c:pt idx="3">
                  <c:v>Madrid</c:v>
                </c:pt>
                <c:pt idx="4">
                  <c:v>Tenerife</c:v>
                </c:pt>
                <c:pt idx="5">
                  <c:v>Zante</c:v>
                </c:pt>
                <c:pt idx="6">
                  <c:v>Paris</c:v>
                </c:pt>
                <c:pt idx="7">
                  <c:v>London City</c:v>
                </c:pt>
                <c:pt idx="8">
                  <c:v>Heathrow</c:v>
                </c:pt>
              </c:strCache>
            </c:strRef>
          </c:cat>
          <c:val>
            <c:numRef>
              <c:f>'Destination Daily Income Chart'!$M$2:$M$10</c:f>
              <c:numCache>
                <c:formatCode>"€"#,##0.00</c:formatCode>
                <c:ptCount val="9"/>
                <c:pt idx="0">
                  <c:v>1920521</c:v>
                </c:pt>
                <c:pt idx="1">
                  <c:v>868033</c:v>
                </c:pt>
                <c:pt idx="2">
                  <c:v>571561</c:v>
                </c:pt>
                <c:pt idx="3">
                  <c:v>430469</c:v>
                </c:pt>
                <c:pt idx="4">
                  <c:v>458980</c:v>
                </c:pt>
                <c:pt idx="5">
                  <c:v>486163</c:v>
                </c:pt>
                <c:pt idx="6">
                  <c:v>458918</c:v>
                </c:pt>
                <c:pt idx="7">
                  <c:v>752651</c:v>
                </c:pt>
                <c:pt idx="8">
                  <c:v>1567129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C-49B3-95C9-AEB66BCA0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444096"/>
        <c:axId val="239449088"/>
      </c:barChart>
      <c:catAx>
        <c:axId val="23944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49088"/>
        <c:crosses val="autoZero"/>
        <c:auto val="1"/>
        <c:lblAlgn val="ctr"/>
        <c:lblOffset val="100"/>
        <c:noMultiLvlLbl val="0"/>
      </c:catAx>
      <c:valAx>
        <c:axId val="23944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4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4.png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15</xdr:row>
      <xdr:rowOff>0</xdr:rowOff>
    </xdr:from>
    <xdr:to>
      <xdr:col>12</xdr:col>
      <xdr:colOff>25265</xdr:colOff>
      <xdr:row>17</xdr:row>
      <xdr:rowOff>137205</xdr:rowOff>
    </xdr:to>
    <xdr:pic macro="[0]!Questions_1_to_3">
      <xdr:nvPicPr>
        <xdr:cNvPr id="5" name="Picture 4" hidden="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01050" y="266700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9525</xdr:rowOff>
    </xdr:from>
    <xdr:to>
      <xdr:col>1</xdr:col>
      <xdr:colOff>158615</xdr:colOff>
      <xdr:row>19</xdr:row>
      <xdr:rowOff>146730</xdr:rowOff>
    </xdr:to>
    <xdr:pic macro="[0]!All_Questions_Project2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57187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20</xdr:row>
      <xdr:rowOff>0</xdr:rowOff>
    </xdr:from>
    <xdr:to>
      <xdr:col>12</xdr:col>
      <xdr:colOff>628650</xdr:colOff>
      <xdr:row>26</xdr:row>
      <xdr:rowOff>152400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114800"/>
          <a:ext cx="1037272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19051</xdr:rowOff>
    </xdr:from>
    <xdr:to>
      <xdr:col>10</xdr:col>
      <xdr:colOff>133350</xdr:colOff>
      <xdr:row>17</xdr:row>
      <xdr:rowOff>95273</xdr:rowOff>
    </xdr:to>
    <xdr:pic>
      <xdr:nvPicPr>
        <xdr:cNvPr id="5" name="Picture 4" hidden="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33551"/>
          <a:ext cx="7896225" cy="1619272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3</xdr:row>
      <xdr:rowOff>85725</xdr:rowOff>
    </xdr:from>
    <xdr:to>
      <xdr:col>9</xdr:col>
      <xdr:colOff>352425</xdr:colOff>
      <xdr:row>17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38100</xdr:colOff>
      <xdr:row>19</xdr:row>
      <xdr:rowOff>28575</xdr:rowOff>
    </xdr:from>
    <xdr:to>
      <xdr:col>1</xdr:col>
      <xdr:colOff>291965</xdr:colOff>
      <xdr:row>21</xdr:row>
      <xdr:rowOff>165780</xdr:rowOff>
    </xdr:to>
    <xdr:pic macro="[0]!All_Questions_Next_Sheet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66712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22</xdr:row>
      <xdr:rowOff>104775</xdr:rowOff>
    </xdr:from>
    <xdr:to>
      <xdr:col>12</xdr:col>
      <xdr:colOff>1314450</xdr:colOff>
      <xdr:row>29</xdr:row>
      <xdr:rowOff>66675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4314825"/>
          <a:ext cx="1037272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2:K14" totalsRowCount="1" headerRowDxfId="24" dataDxfId="23" tableBorderDxfId="22">
  <autoFilter ref="A2:K13"/>
  <tableColumns count="11">
    <tableColumn id="1" name="Departure Airport" totalsRowLabel="Total" dataDxfId="21" totalsRowDxfId="20"/>
    <tableColumn id="2" name="Dublin" totalsRowFunction="sum" dataDxfId="19" totalsRowDxfId="18"/>
    <tableColumn id="3" name="Arricife" totalsRowFunction="sum" dataDxfId="17" totalsRowDxfId="16"/>
    <tableColumn id="4" name="Lanzarote" totalsRowFunction="sum" dataDxfId="15" totalsRowDxfId="14"/>
    <tableColumn id="5" name="Madrid" totalsRowFunction="sum" dataDxfId="13" totalsRowDxfId="12"/>
    <tableColumn id="6" name="Tenerife" totalsRowFunction="sum" dataDxfId="11" totalsRowDxfId="10"/>
    <tableColumn id="7" name="Zante" totalsRowFunction="sum" dataDxfId="9" totalsRowDxfId="8"/>
    <tableColumn id="8" name="Paris" totalsRowFunction="sum" dataDxfId="7" totalsRowDxfId="6"/>
    <tableColumn id="9" name="London City" totalsRowFunction="sum" dataDxfId="5" totalsRowDxfId="4"/>
    <tableColumn id="10" name="Heathrow" totalsRowFunction="sum" dataDxfId="3" totalsRowDxfId="2"/>
    <tableColumn id="11" name="Pula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4"/>
  <sheetViews>
    <sheetView workbookViewId="0">
      <selection sqref="A1:B1"/>
    </sheetView>
  </sheetViews>
  <sheetFormatPr defaultRowHeight="15" x14ac:dyDescent="0.25"/>
  <cols>
    <col min="1" max="1" width="18.85546875" customWidth="1"/>
    <col min="2" max="4" width="12.7109375" bestFit="1" customWidth="1"/>
    <col min="5" max="8" width="11.140625" bestFit="1" customWidth="1"/>
    <col min="9" max="9" width="13.5703125" customWidth="1"/>
    <col min="10" max="10" width="11.85546875" customWidth="1"/>
    <col min="11" max="11" width="11.140625" bestFit="1" customWidth="1"/>
    <col min="13" max="13" width="29.7109375" customWidth="1"/>
  </cols>
  <sheetData>
    <row r="1" spans="1:13" ht="37.5" customHeight="1" thickBot="1" x14ac:dyDescent="0.3">
      <c r="A1" s="19" t="s">
        <v>13</v>
      </c>
      <c r="B1" s="20"/>
    </row>
    <row r="2" spans="1:13" x14ac:dyDescent="0.25">
      <c r="A2" s="12" t="s">
        <v>0</v>
      </c>
      <c r="B2" s="12" t="s">
        <v>1</v>
      </c>
      <c r="C2" s="12" t="s">
        <v>2</v>
      </c>
      <c r="D2" s="12" t="s">
        <v>3</v>
      </c>
      <c r="E2" s="12" t="s">
        <v>4</v>
      </c>
      <c r="F2" s="12" t="s">
        <v>5</v>
      </c>
      <c r="G2" s="12" t="s">
        <v>6</v>
      </c>
      <c r="H2" s="12" t="s">
        <v>7</v>
      </c>
      <c r="I2" s="12" t="s">
        <v>10</v>
      </c>
      <c r="J2" s="12" t="s">
        <v>8</v>
      </c>
      <c r="K2" s="12" t="s">
        <v>9</v>
      </c>
    </row>
    <row r="3" spans="1:13" x14ac:dyDescent="0.25">
      <c r="A3" s="13" t="s">
        <v>1</v>
      </c>
      <c r="B3" s="7">
        <v>0</v>
      </c>
      <c r="C3" s="7">
        <v>877600</v>
      </c>
      <c r="D3" s="7">
        <v>452667</v>
      </c>
      <c r="E3" s="7">
        <v>132765</v>
      </c>
      <c r="F3" s="7">
        <v>213445</v>
      </c>
      <c r="G3" s="7">
        <v>45679</v>
      </c>
      <c r="H3" s="7">
        <v>12322</v>
      </c>
      <c r="I3" s="7">
        <v>98000</v>
      </c>
      <c r="J3" s="7">
        <v>76000</v>
      </c>
      <c r="K3" s="7">
        <v>12043</v>
      </c>
    </row>
    <row r="4" spans="1:13" x14ac:dyDescent="0.25">
      <c r="A4" s="14" t="s">
        <v>2</v>
      </c>
      <c r="B4" s="10">
        <v>248000</v>
      </c>
      <c r="C4" s="10">
        <v>0</v>
      </c>
      <c r="D4" s="10">
        <v>345220</v>
      </c>
      <c r="E4" s="10">
        <v>1908</v>
      </c>
      <c r="F4" s="10">
        <v>16552</v>
      </c>
      <c r="G4" s="10">
        <v>56110</v>
      </c>
      <c r="H4" s="10">
        <v>87000</v>
      </c>
      <c r="I4" s="10">
        <v>34598</v>
      </c>
      <c r="J4" s="10">
        <v>65200</v>
      </c>
      <c r="K4" s="10">
        <v>13445</v>
      </c>
    </row>
    <row r="5" spans="1:13" x14ac:dyDescent="0.25">
      <c r="A5" s="13" t="s">
        <v>3</v>
      </c>
      <c r="B5" s="7">
        <v>134000</v>
      </c>
      <c r="C5" s="7">
        <v>12000</v>
      </c>
      <c r="D5" s="7">
        <v>0</v>
      </c>
      <c r="E5" s="7">
        <v>23445</v>
      </c>
      <c r="F5" s="7">
        <v>12334</v>
      </c>
      <c r="G5" s="7">
        <v>57889</v>
      </c>
      <c r="H5" s="7">
        <v>123000</v>
      </c>
      <c r="I5" s="7">
        <v>123445</v>
      </c>
      <c r="J5" s="7">
        <v>29001</v>
      </c>
      <c r="K5" s="7">
        <v>56447</v>
      </c>
    </row>
    <row r="6" spans="1:13" x14ac:dyDescent="0.25">
      <c r="A6" s="14" t="s">
        <v>4</v>
      </c>
      <c r="B6" s="10">
        <v>87000</v>
      </c>
      <c r="C6" s="10">
        <v>65000</v>
      </c>
      <c r="D6" s="10">
        <v>18000</v>
      </c>
      <c r="E6" s="10">
        <v>0</v>
      </c>
      <c r="F6" s="10">
        <v>32098</v>
      </c>
      <c r="G6" s="10">
        <v>47810</v>
      </c>
      <c r="H6" s="10">
        <v>34562</v>
      </c>
      <c r="I6" s="10">
        <v>34554</v>
      </c>
      <c r="J6" s="10">
        <v>45667</v>
      </c>
      <c r="K6" s="10">
        <v>65778</v>
      </c>
    </row>
    <row r="7" spans="1:13" x14ac:dyDescent="0.25">
      <c r="A7" s="13" t="s">
        <v>5</v>
      </c>
      <c r="B7" s="7">
        <v>112000</v>
      </c>
      <c r="C7" s="7">
        <v>134556</v>
      </c>
      <c r="D7" s="7">
        <v>61551</v>
      </c>
      <c r="E7" s="7">
        <v>17885</v>
      </c>
      <c r="F7" s="7">
        <v>0</v>
      </c>
      <c r="G7" s="7">
        <v>21009</v>
      </c>
      <c r="H7" s="7">
        <v>45334</v>
      </c>
      <c r="I7" s="7">
        <v>34400</v>
      </c>
      <c r="J7" s="7">
        <v>18779</v>
      </c>
      <c r="K7" s="7">
        <v>13466</v>
      </c>
    </row>
    <row r="8" spans="1:13" x14ac:dyDescent="0.25">
      <c r="A8" s="14" t="s">
        <v>6</v>
      </c>
      <c r="B8" s="10">
        <v>23000</v>
      </c>
      <c r="C8" s="10">
        <v>43552</v>
      </c>
      <c r="D8" s="10">
        <v>76256</v>
      </c>
      <c r="E8" s="10">
        <v>15644</v>
      </c>
      <c r="F8" s="10">
        <v>54677</v>
      </c>
      <c r="G8" s="10">
        <v>0</v>
      </c>
      <c r="H8" s="10">
        <v>98255</v>
      </c>
      <c r="I8" s="10">
        <v>81000</v>
      </c>
      <c r="J8" s="10">
        <v>14556</v>
      </c>
      <c r="K8" s="10">
        <v>79223</v>
      </c>
    </row>
    <row r="9" spans="1:13" x14ac:dyDescent="0.25">
      <c r="A9" s="13" t="s">
        <v>7</v>
      </c>
      <c r="B9" s="7">
        <v>45000</v>
      </c>
      <c r="C9" s="7">
        <v>22133</v>
      </c>
      <c r="D9" s="7">
        <v>87990</v>
      </c>
      <c r="E9" s="7">
        <v>19887</v>
      </c>
      <c r="F9" s="7">
        <v>34522</v>
      </c>
      <c r="G9" s="7">
        <v>73400</v>
      </c>
      <c r="H9" s="7">
        <v>0</v>
      </c>
      <c r="I9" s="7">
        <v>56277</v>
      </c>
      <c r="J9" s="7">
        <v>63262</v>
      </c>
      <c r="K9" s="7">
        <v>56447</v>
      </c>
    </row>
    <row r="10" spans="1:13" x14ac:dyDescent="0.25">
      <c r="A10" s="14" t="s">
        <v>10</v>
      </c>
      <c r="B10" s="10">
        <v>213000</v>
      </c>
      <c r="C10" s="10">
        <v>245778</v>
      </c>
      <c r="D10" s="10">
        <v>13224</v>
      </c>
      <c r="E10" s="10">
        <v>98755</v>
      </c>
      <c r="F10" s="10">
        <v>45672</v>
      </c>
      <c r="G10" s="10">
        <v>98023</v>
      </c>
      <c r="H10" s="10">
        <v>12877</v>
      </c>
      <c r="I10" s="10">
        <v>0</v>
      </c>
      <c r="J10" s="10">
        <v>12988</v>
      </c>
      <c r="K10" s="10">
        <v>12334</v>
      </c>
    </row>
    <row r="11" spans="1:13" x14ac:dyDescent="0.25">
      <c r="A11" s="13" t="s">
        <v>8</v>
      </c>
      <c r="B11" s="7">
        <v>982000</v>
      </c>
      <c r="C11" s="7">
        <v>156772</v>
      </c>
      <c r="D11" s="7">
        <v>117000</v>
      </c>
      <c r="E11" s="7">
        <v>13455</v>
      </c>
      <c r="F11" s="7">
        <v>24356</v>
      </c>
      <c r="G11" s="7">
        <v>13990</v>
      </c>
      <c r="H11" s="7">
        <v>121000</v>
      </c>
      <c r="I11" s="7">
        <v>104000</v>
      </c>
      <c r="J11" s="7">
        <v>0</v>
      </c>
      <c r="K11" s="7">
        <v>34556</v>
      </c>
    </row>
    <row r="12" spans="1:13" ht="15.75" customHeight="1" x14ac:dyDescent="0.25">
      <c r="A12" s="14" t="s">
        <v>9</v>
      </c>
      <c r="B12" s="10">
        <v>21000</v>
      </c>
      <c r="C12" s="10">
        <v>18355</v>
      </c>
      <c r="D12" s="10">
        <v>18990</v>
      </c>
      <c r="E12" s="10">
        <v>76000</v>
      </c>
      <c r="F12" s="10">
        <v>65789</v>
      </c>
      <c r="G12" s="10">
        <v>115000</v>
      </c>
      <c r="H12" s="10">
        <v>18751</v>
      </c>
      <c r="I12" s="10">
        <v>78566</v>
      </c>
      <c r="J12" s="10">
        <v>98261</v>
      </c>
      <c r="K12" s="10">
        <v>0</v>
      </c>
    </row>
    <row r="13" spans="1:13" ht="15.75" x14ac:dyDescent="0.3">
      <c r="A13" s="6" t="s">
        <v>12</v>
      </c>
      <c r="B13" s="7">
        <v>10998</v>
      </c>
      <c r="C13" s="7">
        <v>7833</v>
      </c>
      <c r="D13" s="7">
        <v>4366</v>
      </c>
      <c r="E13" s="7">
        <v>6755</v>
      </c>
      <c r="F13" s="7">
        <v>8793</v>
      </c>
      <c r="G13" s="7">
        <v>2146</v>
      </c>
      <c r="H13" s="7">
        <v>4366</v>
      </c>
      <c r="I13" s="7">
        <v>1245</v>
      </c>
      <c r="J13" s="7">
        <v>4566</v>
      </c>
      <c r="K13" s="7">
        <v>3244</v>
      </c>
      <c r="M13" s="1"/>
    </row>
    <row r="14" spans="1:13" x14ac:dyDescent="0.25">
      <c r="A14" s="16" t="s">
        <v>11</v>
      </c>
      <c r="B14" s="17">
        <f>SUBTOTAL(109,Table1[Dublin])</f>
        <v>1875998</v>
      </c>
      <c r="C14" s="17">
        <f>SUBTOTAL(109,Table1[Arricife])</f>
        <v>1583579</v>
      </c>
      <c r="D14" s="17">
        <f>SUBTOTAL(109,Table1[Lanzarote])</f>
        <v>1195264</v>
      </c>
      <c r="E14" s="17">
        <f>SUBTOTAL(109,Table1[Madrid])</f>
        <v>406499</v>
      </c>
      <c r="F14" s="17">
        <f>SUBTOTAL(109,Table1[Tenerife])</f>
        <v>508238</v>
      </c>
      <c r="G14" s="17">
        <f>SUBTOTAL(109,Table1[Zante])</f>
        <v>531056</v>
      </c>
      <c r="H14" s="17">
        <f>SUBTOTAL(109,Table1[Paris])</f>
        <v>557467</v>
      </c>
      <c r="I14" s="17">
        <f>SUBTOTAL(109,Table1[London City])</f>
        <v>646085</v>
      </c>
      <c r="J14" s="17">
        <f>SUBTOTAL(109,Table1[Heathrow])</f>
        <v>428280</v>
      </c>
      <c r="K14" s="17">
        <f>SUBTOTAL(109,Table1[Pula])</f>
        <v>346983</v>
      </c>
    </row>
  </sheetData>
  <mergeCells count="1">
    <mergeCell ref="A1:B1"/>
  </mergeCell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4"/>
  <sheetViews>
    <sheetView tabSelected="1" workbookViewId="0"/>
  </sheetViews>
  <sheetFormatPr defaultRowHeight="15" x14ac:dyDescent="0.25"/>
  <cols>
    <col min="1" max="1" width="16.85546875" bestFit="1" customWidth="1"/>
    <col min="2" max="8" width="11.140625" bestFit="1" customWidth="1"/>
    <col min="9" max="9" width="11.42578125" bestFit="1" customWidth="1"/>
    <col min="10" max="12" width="10.140625" bestFit="1" customWidth="1"/>
    <col min="13" max="13" width="20.28515625" customWidth="1"/>
  </cols>
  <sheetData>
    <row r="1" spans="1:13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10</v>
      </c>
      <c r="J1" s="4" t="s">
        <v>8</v>
      </c>
      <c r="K1" s="4" t="s">
        <v>9</v>
      </c>
      <c r="L1" s="5" t="s">
        <v>12</v>
      </c>
      <c r="M1" s="12" t="s">
        <v>11</v>
      </c>
    </row>
    <row r="2" spans="1:13" x14ac:dyDescent="0.25">
      <c r="A2" s="6" t="s">
        <v>1</v>
      </c>
      <c r="B2" s="7">
        <v>0</v>
      </c>
      <c r="C2" s="7">
        <v>877600</v>
      </c>
      <c r="D2" s="7">
        <v>452667</v>
      </c>
      <c r="E2" s="7">
        <v>132765</v>
      </c>
      <c r="F2" s="7">
        <v>213445</v>
      </c>
      <c r="G2" s="7">
        <v>45679</v>
      </c>
      <c r="H2" s="7">
        <v>12322</v>
      </c>
      <c r="I2" s="7">
        <v>98000</v>
      </c>
      <c r="J2" s="7">
        <v>76000</v>
      </c>
      <c r="K2" s="7">
        <v>12043</v>
      </c>
      <c r="L2" s="8">
        <v>3244</v>
      </c>
      <c r="M2" s="1">
        <f>SUM(B2:K2)</f>
        <v>1920521</v>
      </c>
    </row>
    <row r="3" spans="1:13" x14ac:dyDescent="0.25">
      <c r="A3" s="9" t="s">
        <v>2</v>
      </c>
      <c r="B3" s="10">
        <v>248000</v>
      </c>
      <c r="C3" s="10">
        <v>0</v>
      </c>
      <c r="D3" s="10">
        <v>345220</v>
      </c>
      <c r="E3" s="10">
        <v>1908</v>
      </c>
      <c r="F3" s="10">
        <v>16552</v>
      </c>
      <c r="G3" s="10">
        <v>56110</v>
      </c>
      <c r="H3" s="10">
        <v>87000</v>
      </c>
      <c r="I3" s="10">
        <v>34598</v>
      </c>
      <c r="J3" s="10">
        <v>65200</v>
      </c>
      <c r="K3" s="10">
        <v>13445</v>
      </c>
      <c r="L3" s="11">
        <v>2455</v>
      </c>
      <c r="M3" s="1">
        <f t="shared" ref="M3:M12" si="0">SUM(B3:K3)</f>
        <v>868033</v>
      </c>
    </row>
    <row r="4" spans="1:13" x14ac:dyDescent="0.25">
      <c r="A4" s="6" t="s">
        <v>3</v>
      </c>
      <c r="B4" s="7">
        <v>134000</v>
      </c>
      <c r="C4" s="7">
        <v>12000</v>
      </c>
      <c r="D4" s="7">
        <v>0</v>
      </c>
      <c r="E4" s="7">
        <v>23445</v>
      </c>
      <c r="F4" s="7">
        <v>12334</v>
      </c>
      <c r="G4" s="7">
        <v>57889</v>
      </c>
      <c r="H4" s="7">
        <v>123000</v>
      </c>
      <c r="I4" s="7">
        <v>123445</v>
      </c>
      <c r="J4" s="7">
        <v>29001</v>
      </c>
      <c r="K4" s="7">
        <v>56447</v>
      </c>
      <c r="L4" s="8">
        <v>6577</v>
      </c>
      <c r="M4" s="1">
        <f t="shared" si="0"/>
        <v>571561</v>
      </c>
    </row>
    <row r="5" spans="1:13" x14ac:dyDescent="0.25">
      <c r="A5" s="9" t="s">
        <v>4</v>
      </c>
      <c r="B5" s="10">
        <v>87000</v>
      </c>
      <c r="C5" s="10">
        <v>65000</v>
      </c>
      <c r="D5" s="10">
        <v>18000</v>
      </c>
      <c r="E5" s="10">
        <v>0</v>
      </c>
      <c r="F5" s="10">
        <v>32098</v>
      </c>
      <c r="G5" s="10">
        <v>47810</v>
      </c>
      <c r="H5" s="10">
        <v>34562</v>
      </c>
      <c r="I5" s="10">
        <v>34554</v>
      </c>
      <c r="J5" s="10">
        <v>45667</v>
      </c>
      <c r="K5" s="10">
        <v>65778</v>
      </c>
      <c r="L5" s="11">
        <v>4533</v>
      </c>
      <c r="M5" s="1">
        <f t="shared" si="0"/>
        <v>430469</v>
      </c>
    </row>
    <row r="6" spans="1:13" x14ac:dyDescent="0.25">
      <c r="A6" s="6" t="s">
        <v>5</v>
      </c>
      <c r="B6" s="7">
        <v>112000</v>
      </c>
      <c r="C6" s="7">
        <v>134556</v>
      </c>
      <c r="D6" s="7">
        <v>61551</v>
      </c>
      <c r="E6" s="7">
        <v>17885</v>
      </c>
      <c r="F6" s="7">
        <v>0</v>
      </c>
      <c r="G6" s="7">
        <v>21009</v>
      </c>
      <c r="H6" s="7">
        <v>45334</v>
      </c>
      <c r="I6" s="7">
        <v>34400</v>
      </c>
      <c r="J6" s="7">
        <v>18779</v>
      </c>
      <c r="K6" s="7">
        <v>13466</v>
      </c>
      <c r="L6" s="8">
        <v>5233</v>
      </c>
      <c r="M6" s="1">
        <f t="shared" si="0"/>
        <v>458980</v>
      </c>
    </row>
    <row r="7" spans="1:13" x14ac:dyDescent="0.25">
      <c r="A7" s="9" t="s">
        <v>6</v>
      </c>
      <c r="B7" s="10">
        <v>23000</v>
      </c>
      <c r="C7" s="10">
        <v>43552</v>
      </c>
      <c r="D7" s="10">
        <v>76256</v>
      </c>
      <c r="E7" s="10">
        <v>15644</v>
      </c>
      <c r="F7" s="10">
        <v>54677</v>
      </c>
      <c r="G7" s="10">
        <v>0</v>
      </c>
      <c r="H7" s="10">
        <v>98255</v>
      </c>
      <c r="I7" s="10">
        <v>81000</v>
      </c>
      <c r="J7" s="10">
        <v>14556</v>
      </c>
      <c r="K7" s="10">
        <v>79223</v>
      </c>
      <c r="L7" s="11">
        <v>3144</v>
      </c>
      <c r="M7" s="1">
        <f t="shared" si="0"/>
        <v>486163</v>
      </c>
    </row>
    <row r="8" spans="1:13" x14ac:dyDescent="0.25">
      <c r="A8" s="6" t="s">
        <v>7</v>
      </c>
      <c r="B8" s="7">
        <v>45000</v>
      </c>
      <c r="C8" s="7">
        <v>22133</v>
      </c>
      <c r="D8" s="7">
        <v>87990</v>
      </c>
      <c r="E8" s="7">
        <v>19887</v>
      </c>
      <c r="F8" s="7">
        <v>34522</v>
      </c>
      <c r="G8" s="7">
        <v>73400</v>
      </c>
      <c r="H8" s="7">
        <v>0</v>
      </c>
      <c r="I8" s="7">
        <v>56277</v>
      </c>
      <c r="J8" s="7">
        <v>63262</v>
      </c>
      <c r="K8" s="7">
        <v>56447</v>
      </c>
      <c r="L8" s="8">
        <v>5444</v>
      </c>
      <c r="M8" s="1">
        <f t="shared" si="0"/>
        <v>458918</v>
      </c>
    </row>
    <row r="9" spans="1:13" x14ac:dyDescent="0.25">
      <c r="A9" s="9" t="s">
        <v>10</v>
      </c>
      <c r="B9" s="10">
        <v>213000</v>
      </c>
      <c r="C9" s="10">
        <v>245778</v>
      </c>
      <c r="D9" s="10">
        <v>13224</v>
      </c>
      <c r="E9" s="10">
        <v>98755</v>
      </c>
      <c r="F9" s="10">
        <v>45672</v>
      </c>
      <c r="G9" s="10">
        <v>98023</v>
      </c>
      <c r="H9" s="10">
        <v>12877</v>
      </c>
      <c r="I9" s="10">
        <v>0</v>
      </c>
      <c r="J9" s="10">
        <v>12988</v>
      </c>
      <c r="K9" s="10">
        <v>12334</v>
      </c>
      <c r="L9" s="11">
        <v>7688</v>
      </c>
      <c r="M9" s="1">
        <f t="shared" si="0"/>
        <v>752651</v>
      </c>
    </row>
    <row r="10" spans="1:13" x14ac:dyDescent="0.25">
      <c r="A10" s="6" t="s">
        <v>8</v>
      </c>
      <c r="B10" s="7">
        <v>982000</v>
      </c>
      <c r="C10" s="7">
        <v>156772</v>
      </c>
      <c r="D10" s="7">
        <v>117000</v>
      </c>
      <c r="E10" s="7">
        <v>13455</v>
      </c>
      <c r="F10" s="7">
        <v>24356</v>
      </c>
      <c r="G10" s="7">
        <v>13990</v>
      </c>
      <c r="H10" s="7">
        <v>121000</v>
      </c>
      <c r="I10" s="7">
        <v>104000</v>
      </c>
      <c r="J10" s="7">
        <v>0</v>
      </c>
      <c r="K10" s="7">
        <v>34556</v>
      </c>
      <c r="L10" s="8">
        <v>4566</v>
      </c>
      <c r="M10" s="1">
        <f t="shared" si="0"/>
        <v>1567129</v>
      </c>
    </row>
    <row r="11" spans="1:13" x14ac:dyDescent="0.25">
      <c r="A11" s="9" t="s">
        <v>9</v>
      </c>
      <c r="B11" s="10">
        <v>21000</v>
      </c>
      <c r="C11" s="10">
        <v>18355</v>
      </c>
      <c r="D11" s="10">
        <v>18990</v>
      </c>
      <c r="E11" s="10">
        <v>76000</v>
      </c>
      <c r="F11" s="10">
        <v>65789</v>
      </c>
      <c r="G11" s="10">
        <v>115000</v>
      </c>
      <c r="H11" s="10">
        <v>18751</v>
      </c>
      <c r="I11" s="10">
        <v>78566</v>
      </c>
      <c r="J11" s="10">
        <v>98261</v>
      </c>
      <c r="K11" s="10">
        <v>0</v>
      </c>
      <c r="L11" s="11">
        <v>3655</v>
      </c>
      <c r="M11" s="1">
        <f t="shared" si="0"/>
        <v>510712</v>
      </c>
    </row>
    <row r="12" spans="1:13" ht="15.75" thickBot="1" x14ac:dyDescent="0.3">
      <c r="A12" s="6" t="s">
        <v>12</v>
      </c>
      <c r="B12" s="7">
        <v>10998</v>
      </c>
      <c r="C12" s="7">
        <v>7833</v>
      </c>
      <c r="D12" s="7">
        <v>4366</v>
      </c>
      <c r="E12" s="7">
        <v>6755</v>
      </c>
      <c r="F12" s="7">
        <v>8793</v>
      </c>
      <c r="G12" s="7">
        <v>2146</v>
      </c>
      <c r="H12" s="7">
        <v>4366</v>
      </c>
      <c r="I12" s="7">
        <v>1245</v>
      </c>
      <c r="J12" s="7">
        <v>4566</v>
      </c>
      <c r="K12" s="7">
        <v>3244</v>
      </c>
      <c r="L12" s="8">
        <v>0</v>
      </c>
      <c r="M12" s="1">
        <f t="shared" si="0"/>
        <v>54312</v>
      </c>
    </row>
    <row r="13" spans="1:13" ht="15.75" thickTop="1" x14ac:dyDescent="0.25">
      <c r="A13" s="2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8">
        <f>SUM(M2:M12)</f>
        <v>8079449</v>
      </c>
    </row>
    <row r="14" spans="1:13" x14ac:dyDescent="0.25">
      <c r="M14" s="1"/>
    </row>
  </sheetData>
  <pageMargins left="0.7" right="0.7" top="0.75" bottom="0.75" header="0.3" footer="0.3"/>
  <ignoredErrors>
    <ignoredError sqref="M2:M12" formulaRange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Daily Income</vt:lpstr>
      <vt:lpstr>Destination Daily Income Chart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dcterms:created xsi:type="dcterms:W3CDTF">2018-07-19T10:27:59Z</dcterms:created>
  <dcterms:modified xsi:type="dcterms:W3CDTF">2019-01-30T09:30:43Z</dcterms:modified>
</cp:coreProperties>
</file>