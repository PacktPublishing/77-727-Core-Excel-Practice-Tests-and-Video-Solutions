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1\"/>
    </mc:Choice>
  </mc:AlternateContent>
  <bookViews>
    <workbookView xWindow="0" yWindow="0" windowWidth="19200" windowHeight="7620"/>
  </bookViews>
  <sheets>
    <sheet name="Power Pivot Sales" sheetId="7" r:id="rId1"/>
  </sheets>
  <definedNames>
    <definedName name="test">#REF!,#REF!</definedName>
  </definedNames>
  <calcPr calcId="162913"/>
  <pivotCaches>
    <pivotCache cacheId="2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_39f4010d-b368-4f25-9e01-01ae3ebd22c0" name="Sales" connection="Excel Sales Information Data"/>
        </x15:modelTables>
      </x15:dataModel>
    </ext>
  </extLst>
</workbook>
</file>

<file path=xl/calcChain.xml><?xml version="1.0" encoding="utf-8"?>
<calcChain xmlns="http://schemas.openxmlformats.org/spreadsheetml/2006/main">
  <c r="E2" i="7" l="1"/>
  <c r="G2" i="7"/>
  <c r="A13" i="7"/>
  <c r="A5" i="7"/>
  <c r="A8" i="7"/>
  <c r="C2" i="7"/>
  <c r="A11" i="7"/>
  <c r="A7" i="7"/>
  <c r="B2" i="7"/>
  <c r="A4" i="7"/>
  <c r="A1" i="7"/>
  <c r="E13" i="7"/>
  <c r="G4" i="7"/>
  <c r="G13" i="7"/>
  <c r="C4" i="7"/>
  <c r="A9" i="7"/>
  <c r="G5" i="7"/>
  <c r="B8" i="7"/>
  <c r="H2" i="7"/>
  <c r="H13" i="7" s="1"/>
  <c r="C8" i="7"/>
  <c r="A10" i="7"/>
  <c r="B10" i="7" s="1"/>
  <c r="A3" i="7"/>
  <c r="E5" i="7"/>
  <c r="H8" i="7"/>
  <c r="B13" i="7"/>
  <c r="G8" i="7"/>
  <c r="F2" i="7"/>
  <c r="C5" i="7"/>
  <c r="H4" i="7"/>
  <c r="D2" i="7"/>
  <c r="B5" i="7"/>
  <c r="E3" i="7"/>
  <c r="A12" i="7"/>
  <c r="A14" i="7"/>
  <c r="A6" i="7"/>
  <c r="E10" i="7"/>
  <c r="G10" i="7"/>
  <c r="B11" i="7"/>
  <c r="H3" i="7"/>
  <c r="B3" i="7"/>
  <c r="D10" i="7"/>
  <c r="C9" i="7"/>
  <c r="H6" i="7"/>
  <c r="E8" i="7"/>
  <c r="B9" i="7"/>
  <c r="B4" i="7"/>
  <c r="E7" i="7"/>
  <c r="F4" i="7"/>
  <c r="F14" i="7"/>
  <c r="F10" i="7"/>
  <c r="D9" i="7"/>
  <c r="C3" i="7"/>
  <c r="G11" i="7"/>
  <c r="F8" i="7"/>
  <c r="C7" i="7"/>
  <c r="H7" i="7"/>
  <c r="D4" i="7"/>
  <c r="C6" i="7"/>
  <c r="F7" i="7"/>
  <c r="F9" i="7"/>
  <c r="D13" i="7"/>
  <c r="C13" i="7"/>
  <c r="H12" i="7"/>
  <c r="D12" i="7"/>
  <c r="E4" i="7"/>
  <c r="C12" i="7"/>
  <c r="E11" i="7"/>
  <c r="D6" i="7"/>
  <c r="E9" i="7"/>
  <c r="H14" i="7"/>
  <c r="H5" i="7"/>
  <c r="H11" i="7"/>
  <c r="D7" i="7"/>
  <c r="D3" i="7"/>
  <c r="G3" i="7"/>
  <c r="H10" i="7"/>
  <c r="C10" i="7"/>
  <c r="C11" i="7"/>
  <c r="G6" i="7"/>
  <c r="F6" i="7"/>
  <c r="B12" i="7"/>
  <c r="B7" i="7"/>
  <c r="F5" i="7"/>
  <c r="G7" i="7"/>
  <c r="G14" i="7"/>
  <c r="G9" i="7"/>
  <c r="H9" i="7"/>
  <c r="F13" i="7"/>
  <c r="F3" i="7"/>
  <c r="F11" i="7"/>
  <c r="D8" i="7"/>
  <c r="D11" i="7"/>
  <c r="D5" i="7"/>
  <c r="F12" i="7"/>
  <c r="E12" i="7"/>
  <c r="G12" i="7"/>
  <c r="C14" i="7"/>
  <c r="D14" i="7"/>
  <c r="B14" i="7"/>
  <c r="E14" i="7"/>
  <c r="E6" i="7"/>
  <c r="B6" i="7"/>
</calcChain>
</file>

<file path=xl/connections.xml><?xml version="1.0" encoding="utf-8"?>
<connections xmlns="http://schemas.openxmlformats.org/spreadsheetml/2006/main">
  <connection id="1" name="Excel Sales Information Data" type="100" refreshedVersion="0">
    <extLst>
      <ext xmlns:x15="http://schemas.microsoft.com/office/spreadsheetml/2010/11/main" uri="{DE250136-89BD-433C-8126-D09CA5730AF9}">
        <x15:connection id="0d747f80-1ee2-4cfe-bfa5-35358069787f"/>
      </ext>
    </extLst>
  </connection>
  <connection id="2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2">
    <s v="ThisWorkbookDataModel"/>
    <s v="[Sales].[Destination].&amp;[Paris]"/>
    <s v="[Sales].[Payment Type].[All]"/>
    <s v="[Sales].[Destination].&amp;[London city]"/>
    <s v="[Sales].[Destination].[All]"/>
    <s v="[Sales].[Destination].&amp;[Lanzarote]"/>
    <s v="[Sales].[Payment Type].&amp;[Cash]"/>
    <s v="[Sales].[Destination].&amp;[Arricife]"/>
    <s v="[Sales].[Payment Type].&amp;[Mastercard]"/>
    <s v="[Sales].[Destination].&amp;[Zante]"/>
    <s v="[Sales].[Destination].&amp;[Heathrow]"/>
    <s v="[Sales].[Payment Type].&amp;[Amex]"/>
    <s v="[Sales].[Destination].&amp;[Pula]"/>
    <s v="[Sales].[Destination].&amp;[Nante]"/>
    <s v="[Sales].[Destination].&amp;[Madrid]"/>
    <s v="[Sales].[Destination].&amp;[Tenerife]"/>
    <s v="[Sales].[Destination].&amp;[Dublin]"/>
    <s v="[Sales].[Payment Type].&amp;[Air Miles]"/>
    <s v="[Measures].[Sum of Price]"/>
    <s v="[Sales].[Payment Type].&amp;[Visa]"/>
    <s v="[Sales].[Payment Type].&amp;[Diner's Card]"/>
    <s v="\$#,0.00;(\$#,0.00);\$#,0.00"/>
  </metadataStrings>
  <mdxMetadata count="104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  <mdx n="0" f="m">
      <t c="1">
        <n x="12"/>
      </t>
    </mdx>
    <mdx n="0" f="m">
      <t c="1">
        <n x="13"/>
      </t>
    </mdx>
    <mdx n="0" f="m">
      <t c="1">
        <n x="14"/>
      </t>
    </mdx>
    <mdx n="0" f="m">
      <t c="1">
        <n x="15"/>
      </t>
    </mdx>
    <mdx n="0" f="m">
      <t c="1">
        <n x="16"/>
      </t>
    </mdx>
    <mdx n="0" f="m">
      <t c="1">
        <n x="17"/>
      </t>
    </mdx>
    <mdx n="0" f="m">
      <t c="1">
        <n x="18"/>
      </t>
    </mdx>
    <mdx n="0" f="m">
      <t c="1">
        <n x="19"/>
      </t>
    </mdx>
    <mdx n="0" f="m">
      <t c="1">
        <n x="20"/>
      </t>
    </mdx>
    <mdx n="0" f="v">
      <t c="3" si="21">
        <n x="18"/>
        <n x="10"/>
        <n x="8"/>
      </t>
    </mdx>
    <mdx n="0" f="v">
      <t c="3" si="21">
        <n x="18"/>
        <n x="12"/>
        <n x="11"/>
      </t>
    </mdx>
    <mdx n="0" f="v">
      <t c="3" si="21">
        <n x="18"/>
        <n x="10"/>
        <n x="20"/>
      </t>
    </mdx>
    <mdx n="0" f="v">
      <t c="3" si="21">
        <n x="18"/>
        <n x="7"/>
        <n x="8"/>
      </t>
    </mdx>
    <mdx n="0" f="v">
      <t c="3" si="21">
        <n x="18"/>
        <n x="3"/>
        <n x="17"/>
      </t>
    </mdx>
    <mdx n="0" f="v">
      <t c="3" si="21">
        <n x="18"/>
        <n x="1"/>
        <n x="20"/>
      </t>
    </mdx>
    <mdx n="0" f="v">
      <t c="3" si="21">
        <n x="18"/>
        <n x="15"/>
        <n x="19"/>
      </t>
    </mdx>
    <mdx n="0" f="v">
      <t c="3" si="21">
        <n x="18"/>
        <n x="7"/>
        <n x="19"/>
      </t>
    </mdx>
    <mdx n="0" f="v">
      <t c="3" si="21">
        <n x="18"/>
        <n x="16"/>
        <n x="2"/>
      </t>
    </mdx>
    <mdx n="0" f="v">
      <t c="3" si="21">
        <n x="18"/>
        <n x="5"/>
        <n x="17"/>
      </t>
    </mdx>
    <mdx n="0" f="v">
      <t c="3" si="21">
        <n x="18"/>
        <n x="3"/>
        <n x="11"/>
      </t>
    </mdx>
    <mdx n="0" f="v">
      <t c="3" si="21">
        <n x="18"/>
        <n x="14"/>
        <n x="6"/>
      </t>
    </mdx>
    <mdx n="0" f="v">
      <t c="3" si="21">
        <n x="18"/>
        <n x="13"/>
        <n x="20"/>
      </t>
    </mdx>
    <mdx n="0" f="v">
      <t c="3" si="21">
        <n x="18"/>
        <n x="1"/>
        <n x="8"/>
      </t>
    </mdx>
    <mdx n="0" f="v">
      <t c="3" si="21">
        <n x="18"/>
        <n x="12"/>
        <n x="19"/>
      </t>
    </mdx>
    <mdx n="0" f="v">
      <t c="3" si="21">
        <n x="18"/>
        <n x="15"/>
        <n x="2"/>
      </t>
    </mdx>
    <mdx n="0" f="v">
      <t c="3" si="21">
        <n x="18"/>
        <n x="4"/>
        <n x="17"/>
      </t>
    </mdx>
    <mdx n="0" f="v">
      <t c="3" si="21">
        <n x="18"/>
        <n x="5"/>
        <n x="8"/>
      </t>
    </mdx>
    <mdx n="0" f="v">
      <t c="3" si="21">
        <n x="18"/>
        <n x="1"/>
        <n x="17"/>
      </t>
    </mdx>
    <mdx n="0" f="v">
      <t c="3" si="21">
        <n x="18"/>
        <n x="3"/>
        <n x="2"/>
      </t>
    </mdx>
    <mdx n="0" f="v">
      <t c="3" si="21">
        <n x="18"/>
        <n x="10"/>
        <n x="2"/>
      </t>
    </mdx>
    <mdx n="0" f="v">
      <t c="3">
        <n x="18"/>
        <n x="13"/>
        <n x="6"/>
      </t>
    </mdx>
    <mdx n="0" f="v">
      <t c="3" si="21">
        <n x="18"/>
        <n x="9"/>
        <n x="2"/>
      </t>
    </mdx>
    <mdx n="0" f="v">
      <t c="3" si="21">
        <n x="18"/>
        <n x="7"/>
        <n x="2"/>
      </t>
    </mdx>
    <mdx n="0" f="v">
      <t c="3" si="21">
        <n x="18"/>
        <n x="10"/>
        <n x="17"/>
      </t>
    </mdx>
    <mdx n="0" f="v">
      <t c="3" si="21">
        <n x="18"/>
        <n x="5"/>
        <n x="11"/>
      </t>
    </mdx>
    <mdx n="0" f="v">
      <t c="3" si="21">
        <n x="18"/>
        <n x="3"/>
        <n x="6"/>
      </t>
    </mdx>
    <mdx n="0" f="v">
      <t c="3" si="21">
        <n x="18"/>
        <n x="14"/>
        <n x="20"/>
      </t>
    </mdx>
    <mdx n="0" f="v">
      <t c="3" si="21">
        <n x="18"/>
        <n x="13"/>
        <n x="8"/>
      </t>
    </mdx>
    <mdx n="0" f="v">
      <t c="3" si="21">
        <n x="18"/>
        <n x="1"/>
        <n x="19"/>
      </t>
    </mdx>
    <mdx n="0" f="v">
      <t c="3" si="21">
        <n x="18"/>
        <n x="12"/>
        <n x="2"/>
      </t>
    </mdx>
    <mdx n="0" f="v">
      <t c="3" si="21">
        <n x="18"/>
        <n x="9"/>
        <n x="17"/>
      </t>
    </mdx>
    <mdx n="0" f="v">
      <t c="3" si="21">
        <n x="18"/>
        <n x="4"/>
        <n x="11"/>
      </t>
    </mdx>
    <mdx n="0" f="v">
      <t c="3" si="21">
        <n x="18"/>
        <n x="3"/>
        <n x="19"/>
      </t>
    </mdx>
    <mdx n="0" f="v">
      <t c="3" si="21">
        <n x="18"/>
        <n x="15"/>
        <n x="6"/>
      </t>
    </mdx>
    <mdx n="0" f="v">
      <t c="3" si="21">
        <n x="18"/>
        <n x="16"/>
        <n x="20"/>
      </t>
    </mdx>
    <mdx n="0" f="v">
      <t c="3" si="21">
        <n x="18"/>
        <n x="16"/>
        <n x="19"/>
      </t>
    </mdx>
    <mdx n="0" f="v">
      <t c="3" si="21">
        <n x="18"/>
        <n x="14"/>
        <n x="11"/>
      </t>
    </mdx>
    <mdx n="0" f="v">
      <t c="3" si="21">
        <n x="18"/>
        <n x="12"/>
        <n x="8"/>
      </t>
    </mdx>
    <mdx n="0" f="v">
      <t c="3" si="21">
        <n x="18"/>
        <n x="16"/>
        <n x="17"/>
      </t>
    </mdx>
    <mdx n="0" f="v">
      <t c="3" si="21">
        <n x="18"/>
        <n x="10"/>
        <n x="11"/>
      </t>
    </mdx>
    <mdx n="0" f="v">
      <t c="3" si="21">
        <n x="18"/>
        <n x="5"/>
        <n x="6"/>
      </t>
    </mdx>
    <mdx n="0" f="v">
      <t c="3" si="21">
        <n x="18"/>
        <n x="3"/>
        <n x="20"/>
      </t>
    </mdx>
    <mdx n="0" f="v">
      <t c="3" si="21">
        <n x="18"/>
        <n x="14"/>
        <n x="8"/>
      </t>
    </mdx>
    <mdx n="0" f="v">
      <t c="3" si="21">
        <n x="18"/>
        <n x="13"/>
        <n x="19"/>
      </t>
    </mdx>
    <mdx n="0" f="v">
      <t c="3" si="21">
        <n x="18"/>
        <n x="1"/>
        <n x="2"/>
      </t>
    </mdx>
    <mdx n="0" f="v">
      <t c="3" si="21">
        <n x="18"/>
        <n x="15"/>
        <n x="17"/>
      </t>
    </mdx>
    <mdx n="0" f="v">
      <t c="3" si="21">
        <n x="18"/>
        <n x="9"/>
        <n x="11"/>
      </t>
    </mdx>
    <mdx n="0" f="v">
      <t c="3" si="21">
        <n x="18"/>
        <n x="4"/>
        <n x="6"/>
      </t>
    </mdx>
    <mdx n="0" f="v">
      <t c="3" si="21">
        <n x="18"/>
        <n x="7"/>
        <n x="17"/>
      </t>
    </mdx>
    <mdx n="0" f="v">
      <t c="3" si="21">
        <n x="18"/>
        <n x="16"/>
        <n x="11"/>
      </t>
    </mdx>
    <mdx n="0" f="v">
      <t c="3" si="21">
        <n x="18"/>
        <n x="10"/>
        <n x="6"/>
      </t>
    </mdx>
    <mdx n="0" f="v">
      <t c="3" si="21">
        <n x="18"/>
        <n x="5"/>
        <n x="20"/>
      </t>
    </mdx>
    <mdx n="0" f="v">
      <t c="3" si="21">
        <n x="18"/>
        <n x="3"/>
        <n x="8"/>
      </t>
    </mdx>
    <mdx n="0" f="v">
      <t c="3" si="21">
        <n x="18"/>
        <n x="14"/>
        <n x="19"/>
      </t>
    </mdx>
    <mdx n="0" f="v">
      <t c="3" si="21">
        <n x="18"/>
        <n x="13"/>
        <n x="2"/>
      </t>
    </mdx>
    <mdx n="0" f="v">
      <t c="3" si="21">
        <n x="18"/>
        <n x="12"/>
        <n x="17"/>
      </t>
    </mdx>
    <mdx n="0" f="v">
      <t c="3" si="21">
        <n x="18"/>
        <n x="15"/>
        <n x="11"/>
      </t>
    </mdx>
    <mdx n="0" f="v">
      <t c="3" si="21">
        <n x="18"/>
        <n x="9"/>
        <n x="6"/>
      </t>
    </mdx>
    <mdx n="0" f="v">
      <t c="3" si="21">
        <n x="18"/>
        <n x="4"/>
        <n x="20"/>
      </t>
    </mdx>
    <mdx n="0" f="v">
      <t c="3" si="21">
        <n x="18"/>
        <n x="16"/>
        <n x="6"/>
      </t>
    </mdx>
    <mdx n="0" f="v">
      <t c="3" si="21">
        <n x="18"/>
        <n x="4"/>
        <n x="8"/>
      </t>
    </mdx>
    <mdx n="0" f="v">
      <t c="3" si="21">
        <n x="18"/>
        <n x="4"/>
        <n x="19"/>
      </t>
    </mdx>
    <mdx n="0" f="v">
      <t c="3" si="21">
        <n x="18"/>
        <n x="7"/>
        <n x="11"/>
      </t>
    </mdx>
    <mdx n="0" f="v">
      <t c="3" si="21">
        <n x="18"/>
        <n x="14"/>
        <n x="2"/>
      </t>
    </mdx>
    <mdx n="0" f="v">
      <t c="3" si="21">
        <n x="18"/>
        <n x="9"/>
        <n x="20"/>
      </t>
    </mdx>
    <mdx n="0" f="v">
      <t c="3" si="21">
        <n x="18"/>
        <n x="7"/>
        <n x="6"/>
      </t>
    </mdx>
    <mdx n="0" f="v">
      <t c="3" si="21">
        <n x="18"/>
        <n x="5"/>
        <n x="19"/>
      </t>
    </mdx>
    <mdx n="0" f="v">
      <t c="3" si="21">
        <n x="18"/>
        <n x="13"/>
        <n x="17"/>
      </t>
    </mdx>
    <mdx n="0" f="v">
      <t c="3" si="21">
        <n x="18"/>
        <n x="1"/>
        <n x="11"/>
      </t>
    </mdx>
    <mdx n="0" f="v">
      <t c="3" si="21">
        <n x="18"/>
        <n x="12"/>
        <n x="6"/>
      </t>
    </mdx>
    <mdx n="0" f="v">
      <t c="3" si="21">
        <n x="18"/>
        <n x="15"/>
        <n x="20"/>
      </t>
    </mdx>
    <mdx n="0" f="v">
      <t c="3" si="21">
        <n x="18"/>
        <n x="9"/>
        <n x="8"/>
      </t>
    </mdx>
    <mdx n="0" f="v">
      <t c="3" si="21">
        <n x="18"/>
        <n x="7"/>
        <n x="20"/>
      </t>
    </mdx>
    <mdx n="0" f="v">
      <t c="3" si="21">
        <n x="18"/>
        <n x="16"/>
        <n x="8"/>
      </t>
    </mdx>
    <mdx n="0" f="v">
      <t c="3" si="21">
        <n x="18"/>
        <n x="10"/>
        <n x="19"/>
      </t>
    </mdx>
    <mdx n="0" f="v">
      <t c="3" si="21">
        <n x="18"/>
        <n x="5"/>
        <n x="2"/>
      </t>
    </mdx>
    <mdx n="0" f="v">
      <t c="3" si="21">
        <n x="18"/>
        <n x="14"/>
        <n x="17"/>
      </t>
    </mdx>
    <mdx n="0" f="v">
      <t c="3" si="21">
        <n x="18"/>
        <n x="13"/>
        <n x="11"/>
      </t>
    </mdx>
    <mdx n="0" f="v">
      <t c="3" si="21">
        <n x="18"/>
        <n x="1"/>
        <n x="6"/>
      </t>
    </mdx>
    <mdx n="0" f="v">
      <t c="3" si="21">
        <n x="18"/>
        <n x="12"/>
        <n x="20"/>
      </t>
    </mdx>
    <mdx n="0" f="v">
      <t c="3" si="21">
        <n x="18"/>
        <n x="15"/>
        <n x="8"/>
      </t>
    </mdx>
    <mdx n="0" f="v">
      <t c="3" si="21">
        <n x="18"/>
        <n x="9"/>
        <n x="19"/>
      </t>
    </mdx>
    <mdx n="0" f="v">
      <t c="3" si="21">
        <n x="18"/>
        <n x="4"/>
        <n x="2"/>
      </t>
    </mdx>
  </mdxMetadata>
  <valueMetadata count="10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</valueMetadata>
</metadata>
</file>

<file path=xl/sharedStrings.xml><?xml version="1.0" encoding="utf-8"?>
<sst xmlns="http://schemas.openxmlformats.org/spreadsheetml/2006/main" count="2" uniqueCount="2">
  <si>
    <t>Row Labels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</si>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</sst>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0" fillId="3" borderId="1" xfId="0" applyFill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3E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E2" s="7"/>
        <tr r="G2" s="7"/>
        <tr r="A13" s="7"/>
        <tr r="A5" s="7"/>
        <tr r="A8" s="7"/>
        <tr r="C2" s="7"/>
        <tr r="A11" s="7"/>
        <tr r="A7" s="7"/>
        <tr r="B2" s="7"/>
        <tr r="A4" s="7"/>
        <tr r="A1" s="7"/>
        <tr r="E13" s="7"/>
        <tr r="G4" s="7"/>
        <tr r="G13" s="7"/>
        <tr r="C4" s="7"/>
        <tr r="A9" s="7"/>
        <tr r="G5" s="7"/>
        <tr r="B8" s="7"/>
        <tr r="H2" s="7"/>
        <tr r="H13" s="7"/>
        <tr r="C8" s="7"/>
        <tr r="A10" s="7"/>
        <tr r="B10" s="7"/>
        <tr r="A3" s="7"/>
        <tr r="E5" s="7"/>
        <tr r="H8" s="7"/>
        <tr r="B13" s="7"/>
        <tr r="G8" s="7"/>
        <tr r="F2" s="7"/>
        <tr r="C5" s="7"/>
        <tr r="H4" s="7"/>
        <tr r="D2" s="7"/>
        <tr r="B5" s="7"/>
        <tr r="E3" s="7"/>
        <tr r="A12" s="7"/>
        <tr r="A14" s="7"/>
        <tr r="A6" s="7"/>
        <tr r="E10" s="7"/>
        <tr r="G10" s="7"/>
        <tr r="B11" s="7"/>
        <tr r="H3" s="7"/>
        <tr r="B3" s="7"/>
        <tr r="D10" s="7"/>
        <tr r="C9" s="7"/>
        <tr r="H6" s="7"/>
        <tr r="E8" s="7"/>
        <tr r="B9" s="7"/>
        <tr r="B4" s="7"/>
        <tr r="E7" s="7"/>
        <tr r="F4" s="7"/>
        <tr r="F14" s="7"/>
        <tr r="F10" s="7"/>
        <tr r="D9" s="7"/>
        <tr r="C3" s="7"/>
        <tr r="G11" s="7"/>
        <tr r="F8" s="7"/>
        <tr r="C7" s="7"/>
        <tr r="H7" s="7"/>
        <tr r="D4" s="7"/>
        <tr r="C6" s="7"/>
        <tr r="F7" s="7"/>
        <tr r="F9" s="7"/>
        <tr r="D13" s="7"/>
        <tr r="C13" s="7"/>
        <tr r="H12" s="7"/>
        <tr r="D12" s="7"/>
        <tr r="E4" s="7"/>
        <tr r="C12" s="7"/>
        <tr r="E11" s="7"/>
        <tr r="D6" s="7"/>
        <tr r="E9" s="7"/>
        <tr r="H14" s="7"/>
        <tr r="H5" s="7"/>
        <tr r="H11" s="7"/>
        <tr r="D7" s="7"/>
        <tr r="D3" s="7"/>
        <tr r="G3" s="7"/>
        <tr r="H10" s="7"/>
        <tr r="C10" s="7"/>
        <tr r="C11" s="7"/>
        <tr r="G6" s="7"/>
        <tr r="F6" s="7"/>
        <tr r="B12" s="7"/>
        <tr r="B7" s="7"/>
        <tr r="F5" s="7"/>
        <tr r="G7" s="7"/>
        <tr r="G14" s="7"/>
        <tr r="G9" s="7"/>
        <tr r="H9" s="7"/>
        <tr r="F13" s="7"/>
        <tr r="F3" s="7"/>
        <tr r="F11" s="7"/>
        <tr r="D8" s="7"/>
        <tr r="D11" s="7"/>
        <tr r="D5" s="7"/>
        <tr r="F12" s="7"/>
        <tr r="E12" s="7"/>
        <tr r="G12" s="7"/>
        <tr r="C14" s="7"/>
        <tr r="D14" s="7"/>
        <tr r="B14" s="7"/>
        <tr r="E14" s="7"/>
        <tr r="E6" s="7"/>
        <tr r="B6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theme" Target="theme/theme1.xml"/><Relationship Id="rId21" Type="http://schemas.openxmlformats.org/officeDocument/2006/relationships/customXml" Target="../customXml/item12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pivotCacheDefinition" Target="pivotCache/pivotCacheDefinition1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styles" Target="styles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connections" Target="connections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20</xdr:row>
      <xdr:rowOff>76200</xdr:rowOff>
    </xdr:from>
    <xdr:to>
      <xdr:col>13</xdr:col>
      <xdr:colOff>323850</xdr:colOff>
      <xdr:row>27</xdr:row>
      <xdr:rowOff>38100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971925"/>
          <a:ext cx="9763125" cy="129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57150</xdr:colOff>
      <xdr:row>17</xdr:row>
      <xdr:rowOff>9525</xdr:rowOff>
    </xdr:from>
    <xdr:to>
      <xdr:col>1</xdr:col>
      <xdr:colOff>558665</xdr:colOff>
      <xdr:row>19</xdr:row>
      <xdr:rowOff>146730</xdr:rowOff>
    </xdr:to>
    <xdr:pic macro="[0]!All_Questions_Project5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333750"/>
          <a:ext cx="1377815" cy="518205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invalid="1" saveData="0" refreshedBy="DMurphy" refreshedDate="43328.498445138888" createdVersion="3" refreshedVersion="6" minRefreshableVersion="3" recordCount="0" tupleCache="1" supportSubquery="1" supportAdvancedDrill="1">
  <cacheSource type="external" connectionId="2"/>
  <cacheFields count="3">
    <cacheField name="[Measures].[MeasuresLevel]" caption="MeasuresLevel" numFmtId="0">
      <sharedItems count="1">
        <s v="[Measures].[Sum of Price]" c="Sum of Price"/>
      </sharedItems>
    </cacheField>
    <cacheField name="[Sales].[Payment Type].[Payment Type]" caption="Payment Type" numFmtId="0" hierarchy="5" level="1">
      <sharedItems count="6">
        <s v="[Sales].[Payment Type].&amp;[Air Miles]" c="Air Miles"/>
        <s v="[Sales].[Payment Type].&amp;[Amex]" c="Amex"/>
        <s v="[Sales].[Payment Type].&amp;[Cash]" c="Cash"/>
        <s v="[Sales].[Payment Type].&amp;[Diner's Card]" c="Diner's Card"/>
        <s v="[Sales].[Payment Type].&amp;[Mastercard]" c="Mastercard"/>
        <s v="[Sales].[Payment Type].&amp;[Visa]" c="Visa"/>
      </sharedItems>
    </cacheField>
    <cacheField name="[Sales].[Destination].[Destination]" caption="Destination" numFmtId="0" hierarchy="3" level="1">
      <sharedItems count="11">
        <s v="[Sales].[Destination].&amp;[Arricife]" c="Arricife"/>
        <s v="[Sales].[Destination].&amp;[Dublin]" c="Dublin"/>
        <s v="[Sales].[Destination].&amp;[Heathrow]" c="Heathrow"/>
        <s v="[Sales].[Destination].&amp;[Lanzarote]" c="Lanzarote"/>
        <s v="[Sales].[Destination].&amp;[London city]" c="London city"/>
        <s v="[Sales].[Destination].&amp;[Madrid]" c="Madrid"/>
        <s v="[Sales].[Destination].&amp;[Nante]" c="Nante"/>
        <s v="[Sales].[Destination].&amp;[Paris]" c="Paris"/>
        <s v="[Sales].[Destination].&amp;[Pula]" c="Pula"/>
        <s v="[Sales].[Destination].&amp;[Tenerife]" c="Tenerife"/>
        <s v="[Sales].[Destination].&amp;[Zante]" c="Zante"/>
      </sharedItems>
    </cacheField>
  </cacheFields>
  <cacheHierarchies count="9"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Sales].[Date]" caption="Date" attribute="1" time="1" defaultMemberUniqueName="[Sales].[Date].[All]" allUniqueName="[Sales].[Date].[All]" dimensionUniqueName="[Sales]" displayFolder="" count="2" memberValueDatatype="7" unbalanced="0"/>
    <cacheHierarchy uniqueName="[Sales].[Customer No#]" caption="Customer No#" attribute="1" defaultMemberUniqueName="[Sales].[Customer No#].[All]" allUniqueName="[Sales].[Customer No#].[All]" dimensionUniqueName="[Sales]" displayFolder="" count="2" memberValueDatatype="5" unbalanced="0"/>
    <cacheHierarchy uniqueName="[Sales].[Destination]" caption="Destination" attribute="1" defaultMemberUniqueName="[Sales].[Destination].[All]" allUniqueName="[Sales].[Destination].[All]" allCaption="All" dimensionUniqueName="[Sales]" displayFolder="" count="2" memberValueDatatype="130" unbalanced="0">
      <fieldsUsage count="2">
        <fieldUsage x="-1"/>
        <fieldUsage x="2"/>
      </fieldsUsage>
    </cacheHierarchy>
    <cacheHierarchy uniqueName="[Sales].[Price]" caption="Price" attribute="1" defaultMemberUniqueName="[Sales].[Price].[All]" allUniqueName="[Sales].[Price].[All]" dimensionUniqueName="[Sales]" displayFolder="" count="2" memberValueDatatype="6" unbalanced="0"/>
    <cacheHierarchy uniqueName="[Sales].[Payment Type]" caption="Payment Type" attribute="1" defaultMemberUniqueName="[Sales].[Payment Type].[All]" allUniqueName="[Sales].[Payment Type].[All]" allCaption="All" dimensionUniqueName="[Sales]" displayFolder="" count="2" memberValueDatatype="130" unbalanced="0">
      <fieldsUsage count="2">
        <fieldUsage x="-1"/>
        <fieldUsage x="1"/>
      </fieldsUsage>
    </cacheHierarchy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Price]" caption="Sum of Price" measure="1" displayFolder="" measureGroup="Sale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tupleCache>
    <entries count="84">
      <n v="53741" in="0">
        <tpls c="3">
          <tpl fld="0" item="0"/>
          <tpl fld="2" item="2"/>
          <tpl fld="1" item="4"/>
        </tpls>
      </n>
      <n v="2754" in="0">
        <tpls c="3">
          <tpl fld="0" item="0"/>
          <tpl fld="2" item="8"/>
          <tpl fld="1" item="1"/>
        </tpls>
      </n>
      <n v="15750" in="0">
        <tpls c="3">
          <tpl fld="0" item="0"/>
          <tpl fld="2" item="2"/>
          <tpl fld="1" item="3"/>
        </tpls>
      </n>
      <n v="13221" in="0">
        <tpls c="3">
          <tpl fld="0" item="0"/>
          <tpl fld="2" item="0"/>
          <tpl fld="1" item="4"/>
        </tpls>
      </n>
      <n v="10223" in="0">
        <tpls c="3">
          <tpl fld="0" item="0"/>
          <tpl fld="2" item="4"/>
          <tpl fld="1" item="0"/>
        </tpls>
      </n>
      <n v="9915" in="0">
        <tpls c="3">
          <tpl fld="0" item="0"/>
          <tpl fld="2" item="7"/>
          <tpl fld="1" item="3"/>
        </tpls>
      </n>
      <n v="46963" in="0">
        <tpls c="3">
          <tpl fld="0" item="0"/>
          <tpl fld="2" item="9"/>
          <tpl fld="1" item="5"/>
        </tpls>
      </n>
      <n v="12862" in="0">
        <tpls c="3">
          <tpl fld="0" item="0"/>
          <tpl fld="2" item="0"/>
          <tpl fld="1" item="5"/>
        </tpls>
      </n>
      <n v="549565" in="0">
        <tpls c="3">
          <tpl fld="0" item="0"/>
          <tpl fld="2" item="1"/>
          <tpl hier="5" item="4294967295"/>
        </tpls>
      </n>
      <n v="3880" in="0">
        <tpls c="3">
          <tpl fld="0" item="0"/>
          <tpl fld="2" item="3"/>
          <tpl fld="1" item="0"/>
        </tpls>
      </n>
      <n v="25897" in="0">
        <tpls c="3">
          <tpl fld="0" item="0"/>
          <tpl fld="2" item="4"/>
          <tpl fld="1" item="1"/>
        </tpls>
      </n>
      <n v="3869" in="0">
        <tpls c="3">
          <tpl fld="0" item="0"/>
          <tpl fld="2" item="5"/>
          <tpl fld="1" item="2"/>
        </tpls>
      </n>
      <n v="380" in="0">
        <tpls c="3">
          <tpl fld="0" item="0"/>
          <tpl fld="2" item="6"/>
          <tpl fld="1" item="3"/>
        </tpls>
      </n>
      <n v="149052" in="0">
        <tpls c="3">
          <tpl fld="0" item="0"/>
          <tpl fld="2" item="7"/>
          <tpl fld="1" item="4"/>
        </tpls>
      </n>
      <n v="5899" in="0">
        <tpls c="3">
          <tpl fld="0" item="0"/>
          <tpl fld="2" item="8"/>
          <tpl fld="1" item="5"/>
        </tpls>
      </n>
      <n v="127771" in="0">
        <tpls c="3">
          <tpl fld="0" item="0"/>
          <tpl fld="2" item="9"/>
          <tpl hier="5" item="4294967295"/>
        </tpls>
      </n>
      <n v="143993" in="0">
        <tpls c="3">
          <tpl fld="0" item="0"/>
          <tpl hier="3" item="4294967295"/>
          <tpl fld="1" item="0"/>
        </tpls>
      </n>
      <n v="26944" in="0">
        <tpls c="3">
          <tpl fld="0" item="0"/>
          <tpl fld="2" item="3"/>
          <tpl fld="1" item="4"/>
        </tpls>
      </n>
      <n v="30686" in="0">
        <tpls c="3">
          <tpl fld="0" item="0"/>
          <tpl fld="2" item="7"/>
          <tpl fld="1" item="0"/>
        </tpls>
      </n>
      <n v="120592" in="0">
        <tpls c="3">
          <tpl fld="0" item="0"/>
          <tpl fld="2" item="4"/>
          <tpl hier="5" item="4294967295"/>
        </tpls>
      </n>
      <n v="161826" in="0">
        <tpls c="3">
          <tpl fld="0" item="0"/>
          <tpl fld="2" item="2"/>
          <tpl hier="5" item="4294967295"/>
        </tpls>
      </n>
      <m>
        <tpls c="3">
          <tpl fld="0" item="0"/>
          <tpl fld="2" item="6"/>
          <tpl fld="1" item="2"/>
        </tpls>
      </m>
      <n v="10301" in="0">
        <tpls c="3">
          <tpl fld="0" item="0"/>
          <tpl fld="2" item="10"/>
          <tpl hier="5" item="4294967295"/>
        </tpls>
      </n>
      <n v="52340" in="0">
        <tpls c="3">
          <tpl fld="0" item="0"/>
          <tpl fld="2" item="0"/>
          <tpl hier="5" item="4294967295"/>
        </tpls>
      </n>
      <n v="17949" in="0">
        <tpls c="3">
          <tpl fld="0" item="0"/>
          <tpl fld="2" item="2"/>
          <tpl fld="1" item="0"/>
        </tpls>
      </n>
      <n v="12081" in="0">
        <tpls c="3">
          <tpl fld="0" item="0"/>
          <tpl fld="2" item="3"/>
          <tpl fld="1" item="1"/>
        </tpls>
      </n>
      <n v="6119" in="0">
        <tpls c="3">
          <tpl fld="0" item="0"/>
          <tpl fld="2" item="4"/>
          <tpl fld="1" item="2"/>
        </tpls>
      </n>
      <n v="7757" in="0">
        <tpls c="3">
          <tpl fld="0" item="0"/>
          <tpl fld="2" item="5"/>
          <tpl fld="1" item="3"/>
        </tpls>
      </n>
      <n v="2129" in="0">
        <tpls c="3">
          <tpl fld="0" item="0"/>
          <tpl fld="2" item="6"/>
          <tpl fld="1" item="4"/>
        </tpls>
      </n>
      <n v="108480" in="0">
        <tpls c="3">
          <tpl fld="0" item="0"/>
          <tpl fld="2" item="7"/>
          <tpl fld="1" item="5"/>
        </tpls>
      </n>
      <n v="18097" in="0">
        <tpls c="3">
          <tpl fld="0" item="0"/>
          <tpl fld="2" item="8"/>
          <tpl hier="5" item="4294967295"/>
        </tpls>
      </n>
      <n v="1006" in="0">
        <tpls c="3">
          <tpl fld="0" item="0"/>
          <tpl fld="2" item="10"/>
          <tpl fld="1" item="0"/>
        </tpls>
      </n>
      <n v="323317" in="0">
        <tpls c="3">
          <tpl fld="0" item="0"/>
          <tpl hier="3" item="4294967295"/>
          <tpl fld="1" item="1"/>
        </tpls>
      </n>
      <n v="36498" in="0">
        <tpls c="3">
          <tpl fld="0" item="0"/>
          <tpl fld="2" item="4"/>
          <tpl fld="1" item="5"/>
        </tpls>
      </n>
      <n v="4717" in="0">
        <tpls c="3">
          <tpl fld="0" item="0"/>
          <tpl fld="2" item="9"/>
          <tpl fld="1" item="2"/>
        </tpls>
      </n>
      <n v="20753" in="0">
        <tpls c="3">
          <tpl fld="0" item="0"/>
          <tpl fld="2" item="1"/>
          <tpl fld="1" item="3"/>
        </tpls>
      </n>
      <n v="165494" in="0">
        <tpls c="3">
          <tpl fld="0" item="0"/>
          <tpl fld="2" item="1"/>
          <tpl fld="1" item="5"/>
        </tpls>
      </n>
      <n v="30468" in="0">
        <tpls c="3">
          <tpl fld="0" item="0"/>
          <tpl fld="2" item="5"/>
          <tpl fld="1" item="1"/>
        </tpls>
      </n>
      <n v="6182" in="0">
        <tpls c="3">
          <tpl fld="0" item="0"/>
          <tpl fld="2" item="8"/>
          <tpl fld="1" item="4"/>
        </tpls>
      </n>
      <n v="41595" in="0">
        <tpls c="3">
          <tpl fld="0" item="0"/>
          <tpl fld="2" item="1"/>
          <tpl fld="1" item="0"/>
        </tpls>
      </n>
      <n v="21842" in="0">
        <tpls c="3">
          <tpl fld="0" item="0"/>
          <tpl fld="2" item="2"/>
          <tpl fld="1" item="1"/>
        </tpls>
      </n>
      <n v="3372" in="0">
        <tpls c="3">
          <tpl fld="0" item="0"/>
          <tpl fld="2" item="3"/>
          <tpl fld="1" item="2"/>
        </tpls>
      </n>
      <n v="6013" in="0">
        <tpls c="3">
          <tpl fld="0" item="0"/>
          <tpl fld="2" item="4"/>
          <tpl fld="1" item="3"/>
        </tpls>
      </n>
      <n v="43179" in="0">
        <tpls c="3">
          <tpl fld="0" item="0"/>
          <tpl fld="2" item="5"/>
          <tpl fld="1" item="4"/>
        </tpls>
      </n>
      <n v="2699" in="0">
        <tpls c="3">
          <tpl fld="0" item="0"/>
          <tpl fld="2" item="6"/>
          <tpl fld="1" item="5"/>
        </tpls>
      </n>
      <n v="387132" in="0">
        <tpls c="3">
          <tpl fld="0" item="0"/>
          <tpl fld="2" item="7"/>
          <tpl hier="5" item="4294967295"/>
        </tpls>
      </n>
      <n v="10549" in="0">
        <tpls c="3">
          <tpl fld="0" item="0"/>
          <tpl fld="2" item="9"/>
          <tpl fld="1" item="0"/>
        </tpls>
      </n>
      <n v="2271" in="0">
        <tpls c="3">
          <tpl fld="0" item="0"/>
          <tpl fld="2" item="10"/>
          <tpl fld="1" item="1"/>
        </tpls>
      </n>
      <n v="52424" in="0">
        <tpls c="3">
          <tpl fld="0" item="0"/>
          <tpl hier="3" item="4294967295"/>
          <tpl fld="1" item="2"/>
        </tpls>
      </n>
      <n v="14054" in="0">
        <tpls c="3">
          <tpl fld="0" item="0"/>
          <tpl fld="2" item="0"/>
          <tpl fld="1" item="0"/>
        </tpls>
      </n>
      <n v="118902" in="0">
        <tpls c="3">
          <tpl fld="0" item="0"/>
          <tpl fld="2" item="1"/>
          <tpl fld="1" item="1"/>
        </tpls>
      </n>
      <n v="5427" in="0">
        <tpls c="3">
          <tpl fld="0" item="0"/>
          <tpl fld="2" item="2"/>
          <tpl fld="1" item="2"/>
        </tpls>
      </n>
      <n v="10554" in="0">
        <tpls c="3">
          <tpl fld="0" item="0"/>
          <tpl fld="2" item="3"/>
          <tpl fld="1" item="3"/>
        </tpls>
      </n>
      <n v="35842" in="0">
        <tpls c="3">
          <tpl fld="0" item="0"/>
          <tpl fld="2" item="4"/>
          <tpl fld="1" item="4"/>
        </tpls>
      </n>
      <n v="44441" in="0">
        <tpls c="3">
          <tpl fld="0" item="0"/>
          <tpl fld="2" item="5"/>
          <tpl fld="1" item="5"/>
        </tpls>
      </n>
      <n v="7086" in="0">
        <tpls c="3">
          <tpl fld="0" item="0"/>
          <tpl fld="2" item="6"/>
          <tpl hier="5" item="4294967295"/>
        </tpls>
      </n>
      <n v="1871" in="0">
        <tpls c="3">
          <tpl fld="0" item="0"/>
          <tpl fld="2" item="8"/>
          <tpl fld="1" item="0"/>
        </tpls>
      </n>
      <n v="24434" in="0">
        <tpls c="3">
          <tpl fld="0" item="0"/>
          <tpl fld="2" item="9"/>
          <tpl fld="1" item="1"/>
        </tpls>
      </n>
      <n v="420" in="0">
        <tpls c="3">
          <tpl fld="0" item="0"/>
          <tpl fld="2" item="10"/>
          <tpl fld="1" item="2"/>
        </tpls>
      </n>
      <n v="85198" in="0">
        <tpls c="3">
          <tpl fld="0" item="0"/>
          <tpl hier="3" item="4294967295"/>
          <tpl fld="1" item="3"/>
        </tpls>
      </n>
      <n v="13637" in="0">
        <tpls c="3">
          <tpl fld="0" item="0"/>
          <tpl fld="2" item="1"/>
          <tpl fld="1" item="2"/>
        </tpls>
      </n>
      <n v="554447" in="0">
        <tpls c="3">
          <tpl fld="0" item="0"/>
          <tpl hier="3" item="4294967295"/>
          <tpl fld="1" item="4"/>
        </tpls>
      </n>
      <n v="501593" in="0">
        <tpls c="3">
          <tpl fld="0" item="0"/>
          <tpl hier="3" item="4294967295"/>
          <tpl fld="1" item="5"/>
        </tpls>
      </n>
      <n v="7241" in="0">
        <tpls c="3">
          <tpl fld="0" item="0"/>
          <tpl fld="2" item="0"/>
          <tpl fld="1" item="1"/>
        </tpls>
      </n>
      <n v="141433" in="0">
        <tpls c="3">
          <tpl fld="0" item="0"/>
          <tpl fld="2" item="5"/>
          <tpl hier="5" item="4294967295"/>
        </tpls>
      </n>
      <n v="451" in="0">
        <tpls c="3">
          <tpl fld="0" item="0"/>
          <tpl fld="2" item="10"/>
          <tpl fld="1" item="3"/>
        </tpls>
      </n>
      <n v="1579" in="0">
        <tpls c="3">
          <tpl fld="0" item="0"/>
          <tpl fld="2" item="0"/>
          <tpl fld="1" item="2"/>
        </tpls>
      </n>
      <n v="27998" in="0">
        <tpls c="3">
          <tpl fld="0" item="0"/>
          <tpl fld="2" item="3"/>
          <tpl fld="1" item="5"/>
        </tpls>
      </n>
      <n v="461" in="0">
        <tpls c="3">
          <tpl fld="0" item="0"/>
          <tpl fld="2" item="6"/>
          <tpl fld="1" item="0"/>
        </tpls>
      </n>
      <n v="76010" in="0">
        <tpls c="3">
          <tpl fld="0" item="0"/>
          <tpl fld="2" item="7"/>
          <tpl fld="1" item="1"/>
        </tpls>
      </n>
      <n v="295" in="0">
        <tpls c="3">
          <tpl fld="0" item="0"/>
          <tpl fld="2" item="8"/>
          <tpl fld="1" item="2"/>
        </tpls>
      </n>
      <n v="9146" in="0">
        <tpls c="3">
          <tpl fld="0" item="0"/>
          <tpl fld="2" item="9"/>
          <tpl fld="1" item="3"/>
        </tpls>
      </n>
      <n v="3011" in="0">
        <tpls c="3">
          <tpl fld="0" item="0"/>
          <tpl fld="2" item="10"/>
          <tpl fld="1" item="4"/>
        </tpls>
      </n>
      <n v="3383" in="0">
        <tpls c="3">
          <tpl fld="0" item="0"/>
          <tpl fld="2" item="0"/>
          <tpl fld="1" item="3"/>
        </tpls>
      </n>
      <n v="189184" in="0">
        <tpls c="3">
          <tpl fld="0" item="0"/>
          <tpl fld="2" item="1"/>
          <tpl fld="1" item="4"/>
        </tpls>
      </n>
      <n v="47117" in="0">
        <tpls c="3">
          <tpl fld="0" item="0"/>
          <tpl fld="2" item="2"/>
          <tpl fld="1" item="5"/>
        </tpls>
      </n>
      <n v="84829" in="0">
        <tpls c="3">
          <tpl fld="0" item="0"/>
          <tpl fld="2" item="3"/>
          <tpl hier="5" item="4294967295"/>
        </tpls>
      </n>
      <n v="11719" in="0">
        <tpls c="3">
          <tpl fld="0" item="0"/>
          <tpl fld="2" item="5"/>
          <tpl fld="1" item="0"/>
        </tpls>
      </n>
      <n v="1417" in="0">
        <tpls c="3">
          <tpl fld="0" item="0"/>
          <tpl fld="2" item="6"/>
          <tpl fld="1" item="1"/>
        </tpls>
      </n>
      <n v="12989" in="0">
        <tpls c="3">
          <tpl fld="0" item="0"/>
          <tpl fld="2" item="7"/>
          <tpl fld="1" item="2"/>
        </tpls>
      </n>
      <n v="1096" in="0">
        <tpls c="3">
          <tpl fld="0" item="0"/>
          <tpl fld="2" item="8"/>
          <tpl fld="1" item="3"/>
        </tpls>
      </n>
      <n v="31962" in="0">
        <tpls c="3">
          <tpl fld="0" item="0"/>
          <tpl fld="2" item="9"/>
          <tpl fld="1" item="4"/>
        </tpls>
      </n>
      <n v="3142" in="0">
        <tpls c="3">
          <tpl fld="0" item="0"/>
          <tpl fld="2" item="10"/>
          <tpl fld="1" item="5"/>
        </tpls>
      </n>
      <n v="1660972" in="0">
        <tpls c="3">
          <tpl fld="0" item="0"/>
          <tpl hier="3" item="4294967295"/>
          <tpl hier="5" item="4294967295"/>
        </tpls>
      </n>
    </entries>
    <queryCache count="20">
      <query mdx="[Measures].[Sum of Price]">
        <tpls c="1">
          <tpl fld="0" item="0"/>
        </tpls>
      </query>
      <query mdx="[Sales].[Payment Type].&amp;[Air Miles]">
        <tpls c="1">
          <tpl fld="1" item="0"/>
        </tpls>
      </query>
      <query mdx="[Sales].[Payment Type].&amp;[Amex]">
        <tpls c="1">
          <tpl fld="1" item="1"/>
        </tpls>
      </query>
      <query mdx="[Sales].[Payment Type].&amp;[Cash]">
        <tpls c="1">
          <tpl fld="1" item="2"/>
        </tpls>
      </query>
      <query mdx="[Sales].[Payment Type].&amp;[Diner's Card]">
        <tpls c="1">
          <tpl fld="1" item="3"/>
        </tpls>
      </query>
      <query mdx="[Sales].[Payment Type].&amp;[Mastercard]">
        <tpls c="1">
          <tpl fld="1" item="4"/>
        </tpls>
      </query>
      <query mdx="[Sales].[Payment Type].&amp;[Visa]">
        <tpls c="1">
          <tpl fld="1" item="5"/>
        </tpls>
      </query>
      <query mdx="[Sales].[Payment Type].[All]">
        <tpls c="1">
          <tpl hier="5" item="4294967295"/>
        </tpls>
      </query>
      <query mdx="[Sales].[Destination].&amp;[Arricife]">
        <tpls c="1">
          <tpl fld="2" item="0"/>
        </tpls>
      </query>
      <query mdx="[Sales].[Destination].&amp;[Dublin]">
        <tpls c="1">
          <tpl fld="2" item="1"/>
        </tpls>
      </query>
      <query mdx="[Sales].[Destination].&amp;[Heathrow]">
        <tpls c="1">
          <tpl fld="2" item="2"/>
        </tpls>
      </query>
      <query mdx="[Sales].[Destination].&amp;[Lanzarote]">
        <tpls c="1">
          <tpl fld="2" item="3"/>
        </tpls>
      </query>
      <query mdx="[Sales].[Destination].&amp;[London city]">
        <tpls c="1">
          <tpl fld="2" item="4"/>
        </tpls>
      </query>
      <query mdx="[Sales].[Destination].&amp;[Madrid]">
        <tpls c="1">
          <tpl fld="2" item="5"/>
        </tpls>
      </query>
      <query mdx="[Sales].[Destination].&amp;[Nante]">
        <tpls c="1">
          <tpl fld="2" item="6"/>
        </tpls>
      </query>
      <query mdx="[Sales].[Destination].&amp;[Paris]">
        <tpls c="1">
          <tpl fld="2" item="7"/>
        </tpls>
      </query>
      <query mdx="[Sales].[Destination].&amp;[Pula]">
        <tpls c="1">
          <tpl fld="2" item="8"/>
        </tpls>
      </query>
      <query mdx="[Sales].[Destination].&amp;[Tenerife]">
        <tpls c="1">
          <tpl fld="2" item="9"/>
        </tpls>
      </query>
      <query mdx="[Sales].[Destination].&amp;[Zante]">
        <tpls c="1">
          <tpl fld="2" item="10"/>
        </tpls>
      </query>
      <query mdx="[Sales].[Destination].[All]">
        <tpls c="1">
          <tpl hier="3" item="4294967295"/>
        </tpls>
      </query>
    </queryCache>
    <serverFormats count="1">
      <serverFormat format="\$#,0.00;(\$#,0.00);\$#,0.0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tabSelected="1" workbookViewId="0">
      <selection activeCell="O12" sqref="O12"/>
    </sheetView>
  </sheetViews>
  <sheetFormatPr defaultRowHeight="15" x14ac:dyDescent="0.25"/>
  <cols>
    <col min="1" max="1" width="13.140625" customWidth="1"/>
    <col min="2" max="2" width="16.28515625" bestFit="1" customWidth="1"/>
    <col min="3" max="3" width="11.140625" customWidth="1"/>
    <col min="4" max="4" width="10.140625" customWidth="1"/>
    <col min="5" max="5" width="11.7109375" bestFit="1" customWidth="1"/>
    <col min="6" max="6" width="11.140625" bestFit="1" customWidth="1"/>
    <col min="7" max="7" width="11.140625" customWidth="1"/>
    <col min="8" max="8" width="12.7109375" bestFit="1" customWidth="1"/>
    <col min="14" max="14" width="12" bestFit="1" customWidth="1"/>
  </cols>
  <sheetData>
    <row r="1" spans="1:11" ht="19.5" customHeight="1" x14ac:dyDescent="0.25">
      <c r="A1" t="str" vm="18">
        <f>CUBEMEMBER("ThisWorkbookDataModel","[Measures].[Sum of Price]")</f>
        <v>Sum of Price</v>
      </c>
      <c r="B1" t="s">
        <v>1</v>
      </c>
    </row>
    <row r="2" spans="1:11" ht="15.75" thickBot="1" x14ac:dyDescent="0.3">
      <c r="A2" t="s">
        <v>0</v>
      </c>
      <c r="B2" t="str" vm="17">
        <f>CUBEMEMBER("ThisWorkbookDataModel","[Sales].[Payment Type].&amp;[Air Miles]")</f>
        <v>Air Miles</v>
      </c>
      <c r="C2" t="str" vm="11">
        <f>CUBEMEMBER("ThisWorkbookDataModel","[Sales].[Payment Type].&amp;[Amex]")</f>
        <v>Amex</v>
      </c>
      <c r="D2" t="str" vm="6">
        <f>CUBEMEMBER("ThisWorkbookDataModel","[Sales].[Payment Type].&amp;[Cash]")</f>
        <v>Cash</v>
      </c>
      <c r="E2" t="str" vm="20">
        <f>CUBEMEMBER("ThisWorkbookDataModel","[Sales].[Payment Type].&amp;[Diner's Card]")</f>
        <v>Diner's Card</v>
      </c>
      <c r="F2" t="str" vm="8">
        <f>CUBEMEMBER("ThisWorkbookDataModel","[Sales].[Payment Type].&amp;[Mastercard]")</f>
        <v>Mastercard</v>
      </c>
      <c r="G2" t="str" vm="19">
        <f>CUBEMEMBER("ThisWorkbookDataModel","[Sales].[Payment Type].&amp;[Visa]")</f>
        <v>Visa</v>
      </c>
      <c r="H2" t="str" vm="2">
        <f>CUBEMEMBER("ThisWorkbookDataModel","[Sales].[Payment Type].[All]","Grand Total")</f>
        <v>Grand Total</v>
      </c>
    </row>
    <row r="3" spans="1:11" ht="15.75" thickBot="1" x14ac:dyDescent="0.3">
      <c r="A3" s="1" t="str" vm="7">
        <f>CUBEMEMBER("ThisWorkbookDataModel","[Sales].[Destination].&amp;[Arricife]")</f>
        <v>Arricife</v>
      </c>
      <c r="B3" vm="70">
        <f t="shared" ref="B3:H14" si="0">CUBEVALUE("ThisWorkbookDataModel",$A$1,$A3,B$2)</f>
        <v>14054</v>
      </c>
      <c r="C3" vm="84">
        <f t="shared" si="0"/>
        <v>7241</v>
      </c>
      <c r="D3" vm="87">
        <f t="shared" si="0"/>
        <v>1579</v>
      </c>
      <c r="E3" vm="94">
        <f t="shared" si="0"/>
        <v>3383</v>
      </c>
      <c r="F3" vm="24">
        <f t="shared" si="0"/>
        <v>13221</v>
      </c>
      <c r="G3" vm="28">
        <f t="shared" si="0"/>
        <v>12862</v>
      </c>
      <c r="H3" vm="44">
        <f t="shared" si="0"/>
        <v>52340</v>
      </c>
      <c r="J3" s="3"/>
    </row>
    <row r="4" spans="1:11" ht="15.75" thickBot="1" x14ac:dyDescent="0.3">
      <c r="A4" s="1" t="str" vm="16">
        <f>CUBEMEMBER("ThisWorkbookDataModel","[Sales].[Destination].&amp;[Dublin]")</f>
        <v>Dublin</v>
      </c>
      <c r="B4" vm="60">
        <f t="shared" si="0"/>
        <v>41595</v>
      </c>
      <c r="C4" vm="71">
        <f t="shared" si="0"/>
        <v>118902</v>
      </c>
      <c r="D4" vm="81">
        <f t="shared" si="0"/>
        <v>13637</v>
      </c>
      <c r="E4" vm="56">
        <f t="shared" si="0"/>
        <v>20753</v>
      </c>
      <c r="F4" vm="95">
        <f t="shared" si="0"/>
        <v>189184</v>
      </c>
      <c r="G4" vm="57">
        <f t="shared" si="0"/>
        <v>165494</v>
      </c>
      <c r="H4" vm="29">
        <f t="shared" si="0"/>
        <v>549565</v>
      </c>
      <c r="J4" s="4"/>
      <c r="K4" s="2"/>
    </row>
    <row r="5" spans="1:11" x14ac:dyDescent="0.25">
      <c r="A5" s="1" t="str" vm="10">
        <f>CUBEMEMBER("ThisWorkbookDataModel","[Sales].[Destination].&amp;[Heathrow]")</f>
        <v>Heathrow</v>
      </c>
      <c r="B5" vm="45">
        <f t="shared" si="0"/>
        <v>17949</v>
      </c>
      <c r="C5" vm="61">
        <f t="shared" si="0"/>
        <v>21842</v>
      </c>
      <c r="D5" vm="72">
        <f t="shared" si="0"/>
        <v>5427</v>
      </c>
      <c r="E5" vm="23">
        <f t="shared" si="0"/>
        <v>15750</v>
      </c>
      <c r="F5" vm="21">
        <f t="shared" si="0"/>
        <v>53741</v>
      </c>
      <c r="G5" vm="96">
        <f t="shared" si="0"/>
        <v>47117</v>
      </c>
      <c r="H5" vm="41">
        <f t="shared" si="0"/>
        <v>161826</v>
      </c>
    </row>
    <row r="6" spans="1:11" x14ac:dyDescent="0.25">
      <c r="A6" s="1" t="str" vm="5">
        <f>CUBEMEMBER("ThisWorkbookDataModel","[Sales].[Destination].&amp;[Lanzarote]")</f>
        <v>Lanzarote</v>
      </c>
      <c r="B6" vm="30">
        <f t="shared" si="0"/>
        <v>3880</v>
      </c>
      <c r="C6" vm="46">
        <f t="shared" si="0"/>
        <v>12081</v>
      </c>
      <c r="D6" vm="62">
        <f t="shared" si="0"/>
        <v>3372</v>
      </c>
      <c r="E6" vm="73">
        <f t="shared" si="0"/>
        <v>10554</v>
      </c>
      <c r="F6" vm="38">
        <f t="shared" si="0"/>
        <v>26944</v>
      </c>
      <c r="G6" vm="88">
        <f t="shared" si="0"/>
        <v>27998</v>
      </c>
      <c r="H6" vm="97">
        <f t="shared" si="0"/>
        <v>84829</v>
      </c>
    </row>
    <row r="7" spans="1:11" x14ac:dyDescent="0.25">
      <c r="A7" s="1" t="str" vm="3">
        <f>CUBEMEMBER("ThisWorkbookDataModel","[Sales].[Destination].&amp;[London city]")</f>
        <v>London city</v>
      </c>
      <c r="B7" vm="25">
        <f t="shared" si="0"/>
        <v>10223</v>
      </c>
      <c r="C7" vm="31">
        <f t="shared" si="0"/>
        <v>25897</v>
      </c>
      <c r="D7" vm="47">
        <f t="shared" si="0"/>
        <v>6119</v>
      </c>
      <c r="E7" vm="63">
        <f t="shared" si="0"/>
        <v>6013</v>
      </c>
      <c r="F7" vm="74">
        <f t="shared" si="0"/>
        <v>35842</v>
      </c>
      <c r="G7" vm="54">
        <f t="shared" si="0"/>
        <v>36498</v>
      </c>
      <c r="H7" vm="40">
        <f t="shared" si="0"/>
        <v>120592</v>
      </c>
    </row>
    <row r="8" spans="1:11" x14ac:dyDescent="0.25">
      <c r="A8" s="1" t="str" vm="14">
        <f>CUBEMEMBER("ThisWorkbookDataModel","[Sales].[Destination].&amp;[Madrid]")</f>
        <v>Madrid</v>
      </c>
      <c r="B8" vm="98">
        <f t="shared" si="0"/>
        <v>11719</v>
      </c>
      <c r="C8" vm="58">
        <f t="shared" si="0"/>
        <v>30468</v>
      </c>
      <c r="D8" vm="32">
        <f t="shared" si="0"/>
        <v>3869</v>
      </c>
      <c r="E8" vm="48">
        <f t="shared" si="0"/>
        <v>7757</v>
      </c>
      <c r="F8" vm="64">
        <f t="shared" si="0"/>
        <v>43179</v>
      </c>
      <c r="G8" vm="75">
        <f t="shared" si="0"/>
        <v>44441</v>
      </c>
      <c r="H8" vm="85">
        <f t="shared" si="0"/>
        <v>141433</v>
      </c>
    </row>
    <row r="9" spans="1:11" x14ac:dyDescent="0.25">
      <c r="A9" s="1" t="str" vm="13">
        <f>CUBEMEMBER("ThisWorkbookDataModel","[Sales].[Destination].&amp;[Nante]")</f>
        <v>Nante</v>
      </c>
      <c r="B9" vm="89">
        <f t="shared" si="0"/>
        <v>461</v>
      </c>
      <c r="C9" vm="99">
        <f t="shared" si="0"/>
        <v>1417</v>
      </c>
      <c r="D9" t="str" vm="42">
        <f t="shared" si="0"/>
        <v/>
      </c>
      <c r="E9" vm="33">
        <f t="shared" si="0"/>
        <v>380</v>
      </c>
      <c r="F9" vm="49">
        <f t="shared" si="0"/>
        <v>2129</v>
      </c>
      <c r="G9" vm="65">
        <f t="shared" si="0"/>
        <v>2699</v>
      </c>
      <c r="H9" vm="76">
        <f t="shared" si="0"/>
        <v>7086</v>
      </c>
    </row>
    <row r="10" spans="1:11" x14ac:dyDescent="0.25">
      <c r="A10" s="1" t="str" vm="1">
        <f>CUBEMEMBER("ThisWorkbookDataModel","[Sales].[Destination].&amp;[Paris]")</f>
        <v>Paris</v>
      </c>
      <c r="B10" vm="39">
        <f t="shared" si="0"/>
        <v>30686</v>
      </c>
      <c r="C10" vm="90">
        <f t="shared" si="0"/>
        <v>76010</v>
      </c>
      <c r="D10" vm="100">
        <f t="shared" si="0"/>
        <v>12989</v>
      </c>
      <c r="E10" vm="26">
        <f t="shared" si="0"/>
        <v>9915</v>
      </c>
      <c r="F10" vm="34">
        <f t="shared" si="0"/>
        <v>149052</v>
      </c>
      <c r="G10" vm="50">
        <f t="shared" si="0"/>
        <v>108480</v>
      </c>
      <c r="H10" vm="66">
        <f t="shared" si="0"/>
        <v>387132</v>
      </c>
    </row>
    <row r="11" spans="1:11" x14ac:dyDescent="0.25">
      <c r="A11" s="1" t="str" vm="12">
        <f>CUBEMEMBER("ThisWorkbookDataModel","[Sales].[Destination].&amp;[Pula]")</f>
        <v>Pula</v>
      </c>
      <c r="B11" vm="77">
        <f t="shared" si="0"/>
        <v>1871</v>
      </c>
      <c r="C11" vm="22">
        <f t="shared" si="0"/>
        <v>2754</v>
      </c>
      <c r="D11" vm="91">
        <f t="shared" si="0"/>
        <v>295</v>
      </c>
      <c r="E11" vm="101">
        <f t="shared" si="0"/>
        <v>1096</v>
      </c>
      <c r="F11" vm="59">
        <f t="shared" si="0"/>
        <v>6182</v>
      </c>
      <c r="G11" vm="35">
        <f t="shared" si="0"/>
        <v>5899</v>
      </c>
      <c r="H11" vm="51">
        <f t="shared" si="0"/>
        <v>18097</v>
      </c>
    </row>
    <row r="12" spans="1:11" x14ac:dyDescent="0.25">
      <c r="A12" s="1" t="str" vm="15">
        <f>CUBEMEMBER("ThisWorkbookDataModel","[Sales].[Destination].&amp;[Tenerife]")</f>
        <v>Tenerife</v>
      </c>
      <c r="B12" vm="67">
        <f t="shared" si="0"/>
        <v>10549</v>
      </c>
      <c r="C12" vm="78">
        <f t="shared" si="0"/>
        <v>24434</v>
      </c>
      <c r="D12" vm="55">
        <f t="shared" si="0"/>
        <v>4717</v>
      </c>
      <c r="E12" vm="92">
        <f t="shared" si="0"/>
        <v>9146</v>
      </c>
      <c r="F12" vm="102">
        <f t="shared" si="0"/>
        <v>31962</v>
      </c>
      <c r="G12" vm="27">
        <f t="shared" si="0"/>
        <v>46963</v>
      </c>
      <c r="H12" vm="36">
        <f t="shared" si="0"/>
        <v>127771</v>
      </c>
    </row>
    <row r="13" spans="1:11" x14ac:dyDescent="0.25">
      <c r="A13" s="1" t="str" vm="9">
        <f>CUBEMEMBER("ThisWorkbookDataModel","[Sales].[Destination].&amp;[Zante]")</f>
        <v>Zante</v>
      </c>
      <c r="B13" vm="52">
        <f t="shared" si="0"/>
        <v>1006</v>
      </c>
      <c r="C13" vm="68">
        <f t="shared" si="0"/>
        <v>2271</v>
      </c>
      <c r="D13" vm="79">
        <f t="shared" si="0"/>
        <v>420</v>
      </c>
      <c r="E13" vm="86">
        <f t="shared" si="0"/>
        <v>451</v>
      </c>
      <c r="F13" vm="93">
        <f t="shared" si="0"/>
        <v>3011</v>
      </c>
      <c r="G13" vm="103">
        <f t="shared" si="0"/>
        <v>3142</v>
      </c>
      <c r="H13" vm="43">
        <f t="shared" si="0"/>
        <v>10301</v>
      </c>
    </row>
    <row r="14" spans="1:11" x14ac:dyDescent="0.25">
      <c r="A14" s="1" t="str" vm="4">
        <f>CUBEMEMBER("ThisWorkbookDataModel","[Sales].[Destination].[All]","Grand Total")</f>
        <v>Grand Total</v>
      </c>
      <c r="B14" vm="37">
        <f t="shared" si="0"/>
        <v>143993</v>
      </c>
      <c r="C14" vm="53">
        <f t="shared" si="0"/>
        <v>323317</v>
      </c>
      <c r="D14" vm="69">
        <f t="shared" si="0"/>
        <v>52424</v>
      </c>
      <c r="E14" vm="80">
        <f t="shared" si="0"/>
        <v>85198</v>
      </c>
      <c r="F14" vm="82">
        <f t="shared" si="0"/>
        <v>554447</v>
      </c>
      <c r="G14" vm="83">
        <f t="shared" si="0"/>
        <v>501593</v>
      </c>
      <c r="H14" vm="104">
        <f t="shared" si="0"/>
        <v>1660972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0E58F778-68FC-4D06-943D-6320DD67CCDD}">
  <ds:schemaRefs/>
</ds:datastoreItem>
</file>

<file path=customXml/itemProps2.xml><?xml version="1.0" encoding="utf-8"?>
<ds:datastoreItem xmlns:ds="http://schemas.openxmlformats.org/officeDocument/2006/customXml" ds:itemID="{F91E9339-860C-489F-9B53-E3CC08F3CF01}">
  <ds:schemaRefs/>
</ds:datastoreItem>
</file>

<file path=customXml/itemProps3.xml><?xml version="1.0" encoding="utf-8"?>
<ds:datastoreItem xmlns:ds="http://schemas.openxmlformats.org/officeDocument/2006/customXml" ds:itemID="{7A1383AE-8AFC-4CA2-B4A5-39DC7C49D4FF}">
  <ds:schemaRefs/>
</ds:datastoreItem>
</file>

<file path=customXml/itemProps4.xml><?xml version="1.0" encoding="utf-8"?>
<ds:datastoreItem xmlns:ds="http://schemas.openxmlformats.org/officeDocument/2006/customXml" ds:itemID="{6F22381B-5480-4ACD-B29B-3E587E12825D}">
  <ds:schemaRefs/>
</ds:datastoreItem>
</file>

<file path=customXml/itemProps5.xml><?xml version="1.0" encoding="utf-8"?>
<ds:datastoreItem xmlns:ds="http://schemas.openxmlformats.org/officeDocument/2006/customXml" ds:itemID="{B2197FDC-865D-404E-B74E-291ED23465C4}">
  <ds:schemaRefs/>
</ds:datastoreItem>
</file>

<file path=customXml/itemProps6.xml><?xml version="1.0" encoding="utf-8"?>
<ds:datastoreItem xmlns:ds="http://schemas.openxmlformats.org/officeDocument/2006/customXml" ds:itemID="{7C5E560F-3CD2-44A3-B7C5-0D0DD2351E9B}">
  <ds:schemaRefs/>
</ds:datastoreItem>
</file>

<file path=customXml/itemProps7.xml><?xml version="1.0" encoding="utf-8"?>
<ds:datastoreItem xmlns:ds="http://schemas.openxmlformats.org/officeDocument/2006/customXml" ds:itemID="{94E2B33A-9201-441C-8923-FF9688BE9C68}">
  <ds:schemaRefs/>
</ds:datastoreItem>
</file>

<file path=customXml/itemProps8.xml><?xml version="1.0" encoding="utf-8"?>
<ds:datastoreItem xmlns:ds="http://schemas.openxmlformats.org/officeDocument/2006/customXml" ds:itemID="{5C00E7C3-B897-428C-9DB5-E7CE8CD2BD3B}">
  <ds:schemaRefs/>
</ds:datastoreItem>
</file>

<file path=customXml/itemProps9.xml><?xml version="1.0" encoding="utf-8"?>
<ds:datastoreItem xmlns:ds="http://schemas.openxmlformats.org/officeDocument/2006/customXml" ds:itemID="{A5885463-2706-460B-A8EF-BCF0E758EB12}">
  <ds:schemaRefs/>
</ds:datastoreItem>
</file>

<file path=customXml/itemProps10.xml><?xml version="1.0" encoding="utf-8"?>
<ds:datastoreItem xmlns:ds="http://schemas.openxmlformats.org/officeDocument/2006/customXml" ds:itemID="{E1970BB8-D8FB-4DC8-80EA-9EAEA54AA726}">
  <ds:schemaRefs/>
</ds:datastoreItem>
</file>

<file path=customXml/itemProps11.xml><?xml version="1.0" encoding="utf-8"?>
<ds:datastoreItem xmlns:ds="http://schemas.openxmlformats.org/officeDocument/2006/customXml" ds:itemID="{1AE220AA-0E42-4109-BCF8-6101F4F8AD81}">
  <ds:schemaRefs/>
</ds:datastoreItem>
</file>

<file path=customXml/itemProps12.xml><?xml version="1.0" encoding="utf-8"?>
<ds:datastoreItem xmlns:ds="http://schemas.openxmlformats.org/officeDocument/2006/customXml" ds:itemID="{EA117555-E90A-4850-8AEF-866D4E435D6E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6E2F26D7-3C84-4B62-B56F-E87F0796AE59}">
  <ds:schemaRefs/>
</ds:datastoreItem>
</file>

<file path=customXml/itemProps14.xml><?xml version="1.0" encoding="utf-8"?>
<ds:datastoreItem xmlns:ds="http://schemas.openxmlformats.org/officeDocument/2006/customXml" ds:itemID="{D9289BB4-5230-406D-84DC-1A95DE1548F8}">
  <ds:schemaRefs/>
</ds:datastoreItem>
</file>

<file path=customXml/itemProps15.xml><?xml version="1.0" encoding="utf-8"?>
<ds:datastoreItem xmlns:ds="http://schemas.openxmlformats.org/officeDocument/2006/customXml" ds:itemID="{12D97B6B-5370-47C7-87A8-33E3B73FC2D7}">
  <ds:schemaRefs/>
</ds:datastoreItem>
</file>

<file path=customXml/itemProps16.xml><?xml version="1.0" encoding="utf-8"?>
<ds:datastoreItem xmlns:ds="http://schemas.openxmlformats.org/officeDocument/2006/customXml" ds:itemID="{5B2C978C-5B8D-4D50-98F0-247267FB794A}">
  <ds:schemaRefs/>
</ds:datastoreItem>
</file>

<file path=customXml/itemProps17.xml><?xml version="1.0" encoding="utf-8"?>
<ds:datastoreItem xmlns:ds="http://schemas.openxmlformats.org/officeDocument/2006/customXml" ds:itemID="{DBACDA2A-3B89-4A4B-933F-FE332BA38096}">
  <ds:schemaRefs/>
</ds:datastoreItem>
</file>

<file path=customXml/itemProps18.xml><?xml version="1.0" encoding="utf-8"?>
<ds:datastoreItem xmlns:ds="http://schemas.openxmlformats.org/officeDocument/2006/customXml" ds:itemID="{9B87B34B-EC12-4334-A3E0-F245D6B8C91B}">
  <ds:schemaRefs/>
</ds:datastoreItem>
</file>

<file path=customXml/itemProps19.xml><?xml version="1.0" encoding="utf-8"?>
<ds:datastoreItem xmlns:ds="http://schemas.openxmlformats.org/officeDocument/2006/customXml" ds:itemID="{3613CDD0-B3F3-4721-A156-1A823C16A6A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Pivot Sales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5 - Monthly Merchandise Sales Analysis</dc:title>
  <dc:creator>Dave Murphy</dc:creator>
  <cp:lastModifiedBy>DMurphy</cp:lastModifiedBy>
  <dcterms:created xsi:type="dcterms:W3CDTF">2018-07-19T10:27:59Z</dcterms:created>
  <dcterms:modified xsi:type="dcterms:W3CDTF">2019-01-30T09:32:15Z</dcterms:modified>
</cp:coreProperties>
</file>