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1\"/>
    </mc:Choice>
  </mc:AlternateContent>
  <bookViews>
    <workbookView xWindow="0" yWindow="0" windowWidth="19200" windowHeight="7620"/>
  </bookViews>
  <sheets>
    <sheet name="Merchandise Sales" sheetId="2" r:id="rId1"/>
    <sheet name="Sales Analysis Chart" sheetId="4" r:id="rId2"/>
  </sheets>
  <definedNames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" l="1"/>
  <c r="F3" i="2"/>
  <c r="H3" i="2" s="1"/>
  <c r="F4" i="2"/>
  <c r="H4" i="2" s="1"/>
  <c r="F5" i="2"/>
  <c r="H5" i="2" s="1"/>
  <c r="F6" i="2"/>
  <c r="H6" i="2" s="1"/>
  <c r="F7" i="2"/>
  <c r="H7" i="2" s="1"/>
  <c r="F8" i="2"/>
  <c r="H8" i="2" s="1"/>
  <c r="F9" i="2"/>
  <c r="H9" i="2" s="1"/>
  <c r="F10" i="2"/>
  <c r="H10" i="2" s="1"/>
  <c r="F11" i="2"/>
  <c r="H11" i="2" s="1"/>
  <c r="F12" i="2"/>
  <c r="H12" i="2" s="1"/>
  <c r="H13" i="2" l="1"/>
  <c r="F13" i="2"/>
</calcChain>
</file>

<file path=xl/sharedStrings.xml><?xml version="1.0" encoding="utf-8"?>
<sst xmlns="http://schemas.openxmlformats.org/spreadsheetml/2006/main" count="31" uniqueCount="21">
  <si>
    <t>Dublin</t>
  </si>
  <si>
    <t>Arricife</t>
  </si>
  <si>
    <t>Madrid</t>
  </si>
  <si>
    <t>Zante</t>
  </si>
  <si>
    <t>Paris</t>
  </si>
  <si>
    <t>Heathrow</t>
  </si>
  <si>
    <t>Pula</t>
  </si>
  <si>
    <t>Total</t>
  </si>
  <si>
    <t>Destination</t>
  </si>
  <si>
    <t>Date</t>
  </si>
  <si>
    <t>Mugs</t>
  </si>
  <si>
    <t>Pens</t>
  </si>
  <si>
    <t>Aeroplanes</t>
  </si>
  <si>
    <t>Quantity</t>
  </si>
  <si>
    <t>Margin</t>
  </si>
  <si>
    <t>Unit Cost</t>
  </si>
  <si>
    <t>Total Cost of Sales</t>
  </si>
  <si>
    <t>Total Sales Value</t>
  </si>
  <si>
    <t>Item Name</t>
  </si>
  <si>
    <t>Merchandise Sales</t>
  </si>
  <si>
    <t>Total Destinations with Sales Greater Than €350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</si>
</sst>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#,##0.00"/>
  </numFmts>
  <fonts count="2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2" borderId="1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0" xfId="0" applyAlignment="1">
      <alignment horizontal="center"/>
    </xf>
    <xf numFmtId="9" fontId="0" fillId="0" borderId="0" xfId="0" applyNumberFormat="1"/>
    <xf numFmtId="164" fontId="0" fillId="0" borderId="0" xfId="0" applyNumberFormat="1"/>
    <xf numFmtId="0" fontId="0" fillId="4" borderId="6" xfId="0" applyFill="1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11"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4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5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Sales</a:t>
            </a:r>
            <a:r>
              <a:rPr lang="en-IE" baseline="0"/>
              <a:t> Summary</a:t>
            </a:r>
            <a:endParaRPr lang="en-I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'Merchandise Sales'!$E$2</c:f>
              <c:strCache>
                <c:ptCount val="1"/>
                <c:pt idx="0">
                  <c:v>Unit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'Merchandise Sales'!$B$3:$B$12</c:f>
              <c:strCache>
                <c:ptCount val="10"/>
                <c:pt idx="0">
                  <c:v>Dublin</c:v>
                </c:pt>
                <c:pt idx="1">
                  <c:v>Arricife</c:v>
                </c:pt>
                <c:pt idx="2">
                  <c:v>Dublin</c:v>
                </c:pt>
                <c:pt idx="3">
                  <c:v>Madrid</c:v>
                </c:pt>
                <c:pt idx="4">
                  <c:v>Dublin</c:v>
                </c:pt>
                <c:pt idx="5">
                  <c:v>Zante</c:v>
                </c:pt>
                <c:pt idx="6">
                  <c:v>Paris</c:v>
                </c:pt>
                <c:pt idx="7">
                  <c:v>Zante</c:v>
                </c:pt>
                <c:pt idx="8">
                  <c:v>Heathrow</c:v>
                </c:pt>
                <c:pt idx="9">
                  <c:v>Pula</c:v>
                </c:pt>
              </c:strCache>
            </c:strRef>
          </c:cat>
          <c:val>
            <c:numRef>
              <c:f>'Merchandise Sales'!$E$3:$E$12</c:f>
              <c:numCache>
                <c:formatCode>"€"#,##0.00</c:formatCode>
                <c:ptCount val="10"/>
                <c:pt idx="0">
                  <c:v>1.34</c:v>
                </c:pt>
                <c:pt idx="1">
                  <c:v>1.34</c:v>
                </c:pt>
                <c:pt idx="2">
                  <c:v>5.78</c:v>
                </c:pt>
                <c:pt idx="3">
                  <c:v>0.9</c:v>
                </c:pt>
                <c:pt idx="4">
                  <c:v>5.78</c:v>
                </c:pt>
                <c:pt idx="5">
                  <c:v>1.34</c:v>
                </c:pt>
                <c:pt idx="6">
                  <c:v>0.9</c:v>
                </c:pt>
                <c:pt idx="7">
                  <c:v>0.9</c:v>
                </c:pt>
                <c:pt idx="8">
                  <c:v>5.78</c:v>
                </c:pt>
                <c:pt idx="9">
                  <c:v>1.34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CB-4CD3-90B7-79452616392B}"/>
            </c:ext>
          </c:extLst>
        </c:ser>
        <c:ser>
          <c:idx val="1"/>
          <c:order val="1"/>
          <c:tx>
            <c:strRef>
              <c:f>'Merchandise Sales'!$F$2</c:f>
              <c:strCache>
                <c:ptCount val="1"/>
                <c:pt idx="0">
                  <c:v>Total Cost of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'Merchandise Sales'!$B$3:$B$12</c:f>
              <c:strCache>
                <c:ptCount val="10"/>
                <c:pt idx="0">
                  <c:v>Dublin</c:v>
                </c:pt>
                <c:pt idx="1">
                  <c:v>Arricife</c:v>
                </c:pt>
                <c:pt idx="2">
                  <c:v>Dublin</c:v>
                </c:pt>
                <c:pt idx="3">
                  <c:v>Madrid</c:v>
                </c:pt>
                <c:pt idx="4">
                  <c:v>Dublin</c:v>
                </c:pt>
                <c:pt idx="5">
                  <c:v>Zante</c:v>
                </c:pt>
                <c:pt idx="6">
                  <c:v>Paris</c:v>
                </c:pt>
                <c:pt idx="7">
                  <c:v>Zante</c:v>
                </c:pt>
                <c:pt idx="8">
                  <c:v>Heathrow</c:v>
                </c:pt>
                <c:pt idx="9">
                  <c:v>Pula</c:v>
                </c:pt>
              </c:strCache>
            </c:strRef>
          </c:cat>
          <c:val>
            <c:numRef>
              <c:f>'Merchandise Sales'!$F$3:$F$12</c:f>
              <c:numCache>
                <c:formatCode>"€"#,##0.00</c:formatCode>
                <c:ptCount val="10"/>
                <c:pt idx="0">
                  <c:v>119.26</c:v>
                </c:pt>
                <c:pt idx="1">
                  <c:v>250.58</c:v>
                </c:pt>
                <c:pt idx="2">
                  <c:v>450.84000000000003</c:v>
                </c:pt>
                <c:pt idx="3">
                  <c:v>64.8</c:v>
                </c:pt>
                <c:pt idx="4">
                  <c:v>502.86</c:v>
                </c:pt>
                <c:pt idx="5">
                  <c:v>73.7</c:v>
                </c:pt>
                <c:pt idx="6">
                  <c:v>111.60000000000001</c:v>
                </c:pt>
                <c:pt idx="7">
                  <c:v>110.7</c:v>
                </c:pt>
                <c:pt idx="8">
                  <c:v>375.7</c:v>
                </c:pt>
                <c:pt idx="9">
                  <c:v>293.46000000000004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CB-4CD3-90B7-79452616392B}"/>
            </c:ext>
          </c:extLst>
        </c:ser>
        <c:ser>
          <c:idx val="2"/>
          <c:order val="2"/>
          <c:tx>
            <c:strRef>
              <c:f>'Merchandise Sales'!$H$2</c:f>
              <c:strCache>
                <c:ptCount val="1"/>
                <c:pt idx="0">
                  <c:v>Total Sales Value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'Merchandise Sales'!$B$3:$B$12</c:f>
              <c:strCache>
                <c:ptCount val="10"/>
                <c:pt idx="0">
                  <c:v>Dublin</c:v>
                </c:pt>
                <c:pt idx="1">
                  <c:v>Arricife</c:v>
                </c:pt>
                <c:pt idx="2">
                  <c:v>Dublin</c:v>
                </c:pt>
                <c:pt idx="3">
                  <c:v>Madrid</c:v>
                </c:pt>
                <c:pt idx="4">
                  <c:v>Dublin</c:v>
                </c:pt>
                <c:pt idx="5">
                  <c:v>Zante</c:v>
                </c:pt>
                <c:pt idx="6">
                  <c:v>Paris</c:v>
                </c:pt>
                <c:pt idx="7">
                  <c:v>Zante</c:v>
                </c:pt>
                <c:pt idx="8">
                  <c:v>Heathrow</c:v>
                </c:pt>
                <c:pt idx="9">
                  <c:v>Pula</c:v>
                </c:pt>
              </c:strCache>
            </c:strRef>
          </c:cat>
          <c:val>
            <c:numRef>
              <c:f>'Merchandise Sales'!$H$3:$H$12</c:f>
              <c:numCache>
                <c:formatCode>"€"#,##0.00</c:formatCode>
                <c:ptCount val="10"/>
                <c:pt idx="0">
                  <c:v>190.81600000000003</c:v>
                </c:pt>
                <c:pt idx="1">
                  <c:v>400.92800000000005</c:v>
                </c:pt>
                <c:pt idx="2">
                  <c:v>721.34400000000005</c:v>
                </c:pt>
                <c:pt idx="3">
                  <c:v>103.68</c:v>
                </c:pt>
                <c:pt idx="4">
                  <c:v>804.57600000000002</c:v>
                </c:pt>
                <c:pt idx="5">
                  <c:v>117.92000000000002</c:v>
                </c:pt>
                <c:pt idx="6">
                  <c:v>178.56000000000003</c:v>
                </c:pt>
                <c:pt idx="7">
                  <c:v>177.12</c:v>
                </c:pt>
                <c:pt idx="8">
                  <c:v>601.12</c:v>
                </c:pt>
                <c:pt idx="9">
                  <c:v>469.53600000000006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CB-4CD3-90B7-794526163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305728"/>
        <c:axId val="743303232"/>
      </c:barChart>
      <c:catAx>
        <c:axId val="74330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303232"/>
        <c:crosses val="autoZero"/>
        <c:auto val="1"/>
        <c:lblAlgn val="ctr"/>
        <c:lblOffset val="100"/>
        <c:noMultiLvlLbl val="0"/>
      </c:catAx>
      <c:valAx>
        <c:axId val="74330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30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21</xdr:row>
      <xdr:rowOff>161925</xdr:rowOff>
    </xdr:from>
    <xdr:to>
      <xdr:col>14</xdr:col>
      <xdr:colOff>152400</xdr:colOff>
      <xdr:row>28</xdr:row>
      <xdr:rowOff>123825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4410075"/>
          <a:ext cx="1159192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18</xdr:row>
      <xdr:rowOff>95250</xdr:rowOff>
    </xdr:from>
    <xdr:to>
      <xdr:col>1</xdr:col>
      <xdr:colOff>701540</xdr:colOff>
      <xdr:row>21</xdr:row>
      <xdr:rowOff>41955</xdr:rowOff>
    </xdr:to>
    <xdr:pic macro="[0]!All_Questions_Project3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771900"/>
          <a:ext cx="1377815" cy="518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3</xdr:row>
      <xdr:rowOff>57150</xdr:rowOff>
    </xdr:from>
    <xdr:to>
      <xdr:col>10</xdr:col>
      <xdr:colOff>381000</xdr:colOff>
      <xdr:row>19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95250</xdr:colOff>
      <xdr:row>25</xdr:row>
      <xdr:rowOff>28575</xdr:rowOff>
    </xdr:from>
    <xdr:to>
      <xdr:col>19</xdr:col>
      <xdr:colOff>104775</xdr:colOff>
      <xdr:row>27</xdr:row>
      <xdr:rowOff>9525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600575"/>
          <a:ext cx="1159192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15</xdr:col>
      <xdr:colOff>158615</xdr:colOff>
      <xdr:row>4</xdr:row>
      <xdr:rowOff>137205</xdr:rowOff>
    </xdr:to>
    <xdr:pic macro="[0]!All_Questions_Project3">
      <xdr:nvPicPr>
        <xdr:cNvPr id="8" name="Picture 7" hidden="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3810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</xdr:row>
      <xdr:rowOff>114300</xdr:rowOff>
    </xdr:from>
    <xdr:to>
      <xdr:col>2</xdr:col>
      <xdr:colOff>206240</xdr:colOff>
      <xdr:row>24</xdr:row>
      <xdr:rowOff>61005</xdr:rowOff>
    </xdr:to>
    <xdr:pic macro="[0]!All_Questions_Project3_Nex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924300"/>
          <a:ext cx="1377815" cy="5182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2:H13" totalsRowCount="1">
  <autoFilter ref="A2:H12"/>
  <tableColumns count="8">
    <tableColumn id="1" name="Date" totalsRowLabel="Total" dataDxfId="10"/>
    <tableColumn id="2" name="Destination" dataDxfId="9" totalsRowDxfId="8"/>
    <tableColumn id="3" name="Item Name"/>
    <tableColumn id="5" name="Quantity" dataDxfId="7" totalsRowDxfId="6"/>
    <tableColumn id="10" name="Unit Cost" totalsRowFunction="sum" dataDxfId="5" totalsRowDxfId="4"/>
    <tableColumn id="11" name="Total Cost of Sales" totalsRowFunction="sum" dataDxfId="3" totalsRowDxfId="2">
      <calculatedColumnFormula>Table1[[#This Row],[Quantity]]*Table1[[#This Row],[Unit Cost]]</calculatedColumnFormula>
    </tableColumn>
    <tableColumn id="12" name="Margin"/>
    <tableColumn id="13" name="Total Sales Value" totalsRowFunction="sum" dataDxfId="1" totalsRowDxfId="0">
      <calculatedColumnFormula>Table1[[#This Row],[Total Cost of Sales]]*1.6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"/>
  <sheetViews>
    <sheetView tabSelected="1" topLeftCell="A2" workbookViewId="0">
      <selection activeCell="A2" sqref="A2:H2"/>
    </sheetView>
  </sheetViews>
  <sheetFormatPr defaultRowHeight="15" x14ac:dyDescent="0.25"/>
  <cols>
    <col min="1" max="1" width="10.7109375" bestFit="1" customWidth="1"/>
    <col min="2" max="2" width="13.42578125" customWidth="1"/>
    <col min="3" max="3" width="19.5703125" customWidth="1"/>
    <col min="4" max="4" width="15.7109375" style="5" customWidth="1"/>
    <col min="5" max="5" width="11.42578125" bestFit="1" customWidth="1"/>
    <col min="6" max="6" width="19.5703125" bestFit="1" customWidth="1"/>
    <col min="7" max="7" width="9.5703125" bestFit="1" customWidth="1"/>
    <col min="8" max="8" width="18.42578125" bestFit="1" customWidth="1"/>
  </cols>
  <sheetData>
    <row r="1" spans="1:9" ht="32.25" thickBot="1" x14ac:dyDescent="0.55000000000000004">
      <c r="A1" s="9" t="s">
        <v>19</v>
      </c>
      <c r="B1" s="10"/>
      <c r="C1" s="10"/>
      <c r="D1" s="10"/>
      <c r="E1" s="10"/>
      <c r="F1" s="10"/>
      <c r="G1" s="10"/>
      <c r="H1" s="11"/>
    </row>
    <row r="2" spans="1:9" x14ac:dyDescent="0.25">
      <c r="A2" s="1" t="s">
        <v>9</v>
      </c>
      <c r="B2" t="s">
        <v>8</v>
      </c>
      <c r="C2" t="s">
        <v>18</v>
      </c>
      <c r="D2" s="5" t="s">
        <v>13</v>
      </c>
      <c r="E2" t="s">
        <v>15</v>
      </c>
      <c r="F2" t="s">
        <v>16</v>
      </c>
      <c r="G2" t="s">
        <v>14</v>
      </c>
      <c r="H2" t="s">
        <v>17</v>
      </c>
    </row>
    <row r="3" spans="1:9" x14ac:dyDescent="0.25">
      <c r="A3" s="1">
        <v>43101</v>
      </c>
      <c r="B3" s="2" t="s">
        <v>0</v>
      </c>
      <c r="C3" t="s">
        <v>10</v>
      </c>
      <c r="D3" s="5">
        <v>89</v>
      </c>
      <c r="E3" s="7">
        <v>1.34</v>
      </c>
      <c r="F3" s="7">
        <f>Table1[[#This Row],[Quantity]]*Table1[[#This Row],[Unit Cost]]</f>
        <v>119.26</v>
      </c>
      <c r="G3" s="6">
        <v>0.6</v>
      </c>
      <c r="H3" s="7">
        <f>Table1[[#This Row],[Total Cost of Sales]]*1.6</f>
        <v>190.81600000000003</v>
      </c>
    </row>
    <row r="4" spans="1:9" x14ac:dyDescent="0.25">
      <c r="A4" s="1">
        <v>43131</v>
      </c>
      <c r="B4" s="3" t="s">
        <v>1</v>
      </c>
      <c r="C4" t="s">
        <v>10</v>
      </c>
      <c r="D4" s="5">
        <v>187</v>
      </c>
      <c r="E4" s="7">
        <v>1.34</v>
      </c>
      <c r="F4" s="7">
        <f>Table1[[#This Row],[Quantity]]*Table1[[#This Row],[Unit Cost]]</f>
        <v>250.58</v>
      </c>
      <c r="G4" s="6">
        <v>0.6</v>
      </c>
      <c r="H4" s="7">
        <f>Table1[[#This Row],[Total Cost of Sales]]*1.6</f>
        <v>400.92800000000005</v>
      </c>
    </row>
    <row r="5" spans="1:9" x14ac:dyDescent="0.25">
      <c r="A5" s="1">
        <v>43177</v>
      </c>
      <c r="B5" s="2" t="s">
        <v>0</v>
      </c>
      <c r="C5" t="s">
        <v>12</v>
      </c>
      <c r="D5" s="5">
        <v>78</v>
      </c>
      <c r="E5" s="7">
        <v>5.78</v>
      </c>
      <c r="F5" s="7">
        <f>Table1[[#This Row],[Quantity]]*Table1[[#This Row],[Unit Cost]]</f>
        <v>450.84000000000003</v>
      </c>
      <c r="G5" s="6">
        <v>0.75</v>
      </c>
      <c r="H5" s="7">
        <f>Table1[[#This Row],[Total Cost of Sales]]*1.6</f>
        <v>721.34400000000005</v>
      </c>
    </row>
    <row r="6" spans="1:9" x14ac:dyDescent="0.25">
      <c r="A6" s="1">
        <v>43145</v>
      </c>
      <c r="B6" s="3" t="s">
        <v>2</v>
      </c>
      <c r="C6" t="s">
        <v>11</v>
      </c>
      <c r="D6" s="5">
        <v>72</v>
      </c>
      <c r="E6" s="7">
        <v>0.9</v>
      </c>
      <c r="F6" s="7">
        <f>Table1[[#This Row],[Quantity]]*Table1[[#This Row],[Unit Cost]]</f>
        <v>64.8</v>
      </c>
      <c r="G6" s="6">
        <v>1.1200000000000001</v>
      </c>
      <c r="H6" s="7">
        <f>Table1[[#This Row],[Total Cost of Sales]]*1.6</f>
        <v>103.68</v>
      </c>
    </row>
    <row r="7" spans="1:9" x14ac:dyDescent="0.25">
      <c r="A7" s="1">
        <v>43178</v>
      </c>
      <c r="B7" s="2" t="s">
        <v>0</v>
      </c>
      <c r="C7" t="s">
        <v>12</v>
      </c>
      <c r="D7" s="5">
        <v>87</v>
      </c>
      <c r="E7" s="7">
        <v>5.78</v>
      </c>
      <c r="F7" s="7">
        <f>Table1[[#This Row],[Quantity]]*Table1[[#This Row],[Unit Cost]]</f>
        <v>502.86</v>
      </c>
      <c r="G7" s="6">
        <v>0.75</v>
      </c>
      <c r="H7" s="7">
        <f>Table1[[#This Row],[Total Cost of Sales]]*1.6</f>
        <v>804.57600000000002</v>
      </c>
    </row>
    <row r="8" spans="1:9" x14ac:dyDescent="0.25">
      <c r="A8" s="1">
        <v>43211</v>
      </c>
      <c r="B8" s="3" t="s">
        <v>3</v>
      </c>
      <c r="C8" t="s">
        <v>10</v>
      </c>
      <c r="D8" s="5">
        <v>55</v>
      </c>
      <c r="E8" s="7">
        <v>1.34</v>
      </c>
      <c r="F8" s="7">
        <f>Table1[[#This Row],[Quantity]]*Table1[[#This Row],[Unit Cost]]</f>
        <v>73.7</v>
      </c>
      <c r="G8" s="6">
        <v>0.6</v>
      </c>
      <c r="H8" s="7">
        <f>Table1[[#This Row],[Total Cost of Sales]]*1.6</f>
        <v>117.92000000000002</v>
      </c>
    </row>
    <row r="9" spans="1:9" x14ac:dyDescent="0.25">
      <c r="A9" s="1">
        <v>43221</v>
      </c>
      <c r="B9" s="2" t="s">
        <v>4</v>
      </c>
      <c r="C9" t="s">
        <v>11</v>
      </c>
      <c r="D9" s="5">
        <v>124</v>
      </c>
      <c r="E9" s="7">
        <v>0.9</v>
      </c>
      <c r="F9" s="7">
        <f>Table1[[#This Row],[Quantity]]*Table1[[#This Row],[Unit Cost]]</f>
        <v>111.60000000000001</v>
      </c>
      <c r="G9" s="6">
        <v>1.1200000000000001</v>
      </c>
      <c r="H9" s="7">
        <f>Table1[[#This Row],[Total Cost of Sales]]*1.6</f>
        <v>178.56000000000003</v>
      </c>
    </row>
    <row r="10" spans="1:9" x14ac:dyDescent="0.25">
      <c r="A10" s="1">
        <v>43228</v>
      </c>
      <c r="B10" s="3" t="s">
        <v>3</v>
      </c>
      <c r="C10" t="s">
        <v>11</v>
      </c>
      <c r="D10" s="5">
        <v>123</v>
      </c>
      <c r="E10" s="7">
        <v>0.9</v>
      </c>
      <c r="F10" s="7">
        <f>Table1[[#This Row],[Quantity]]*Table1[[#This Row],[Unit Cost]]</f>
        <v>110.7</v>
      </c>
      <c r="G10" s="6">
        <v>1.1200000000000001</v>
      </c>
      <c r="H10" s="7">
        <f>Table1[[#This Row],[Total Cost of Sales]]*1.6</f>
        <v>177.12</v>
      </c>
    </row>
    <row r="11" spans="1:9" x14ac:dyDescent="0.25">
      <c r="A11" s="1">
        <v>43237</v>
      </c>
      <c r="B11" s="2" t="s">
        <v>5</v>
      </c>
      <c r="C11" t="s">
        <v>12</v>
      </c>
      <c r="D11" s="5">
        <v>65</v>
      </c>
      <c r="E11" s="7">
        <v>5.78</v>
      </c>
      <c r="F11" s="7">
        <f>Table1[[#This Row],[Quantity]]*Table1[[#This Row],[Unit Cost]]</f>
        <v>375.7</v>
      </c>
      <c r="G11" s="6">
        <v>0.75</v>
      </c>
      <c r="H11" s="7">
        <f>Table1[[#This Row],[Total Cost of Sales]]*1.6</f>
        <v>601.12</v>
      </c>
    </row>
    <row r="12" spans="1:9" x14ac:dyDescent="0.25">
      <c r="A12" s="1">
        <v>43241</v>
      </c>
      <c r="B12" s="3" t="s">
        <v>6</v>
      </c>
      <c r="C12" t="s">
        <v>10</v>
      </c>
      <c r="D12" s="5">
        <v>219</v>
      </c>
      <c r="E12" s="7">
        <v>1.34</v>
      </c>
      <c r="F12" s="7">
        <f>Table1[[#This Row],[Quantity]]*Table1[[#This Row],[Unit Cost]]</f>
        <v>293.46000000000004</v>
      </c>
      <c r="G12" s="6">
        <v>0.6</v>
      </c>
      <c r="H12" s="7">
        <f>Table1[[#This Row],[Total Cost of Sales]]*1.6</f>
        <v>469.53600000000006</v>
      </c>
    </row>
    <row r="13" spans="1:9" x14ac:dyDescent="0.25">
      <c r="A13" t="s">
        <v>7</v>
      </c>
      <c r="B13" s="4"/>
      <c r="E13" s="7">
        <f>SUBTOTAL(109,Table1[Unit Cost])</f>
        <v>25.4</v>
      </c>
      <c r="F13" s="7">
        <f>SUBTOTAL(109,Table1[Total Cost of Sales])</f>
        <v>2353.5</v>
      </c>
      <c r="H13" s="7">
        <f>SUBTOTAL(109,Table1[Total Sales Value])</f>
        <v>3765.6</v>
      </c>
    </row>
    <row r="14" spans="1:9" ht="15.75" thickBot="1" x14ac:dyDescent="0.3"/>
    <row r="15" spans="1:9" ht="16.5" customHeight="1" thickBot="1" x14ac:dyDescent="0.3">
      <c r="F15" t="s">
        <v>20</v>
      </c>
      <c r="I15" s="8"/>
    </row>
  </sheetData>
  <mergeCells count="1">
    <mergeCell ref="A1:H1"/>
  </mergeCells>
  <pageMargins left="0.7" right="0.7" top="0.75" bottom="0.75" header="0.3" footer="0.3"/>
  <pageSetup paperSize="9" orientation="landscape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5:A26"/>
  <sheetViews>
    <sheetView workbookViewId="0"/>
  </sheetViews>
  <sheetFormatPr defaultRowHeight="15" x14ac:dyDescent="0.25"/>
  <sheetData>
    <row r="15" ht="139.5" hidden="1" customHeight="1" thickBot="1" x14ac:dyDescent="0.25"/>
    <row r="26" ht="88.5" customHeigh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Merchandise Sales</vt:lpstr>
      <vt:lpstr>Sales Analysis Chart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cp:lastPrinted>2018-11-26T11:51:52Z</cp:lastPrinted>
  <dcterms:created xsi:type="dcterms:W3CDTF">2018-07-19T10:27:59Z</dcterms:created>
  <dcterms:modified xsi:type="dcterms:W3CDTF">2019-01-30T09:31:16Z</dcterms:modified>
</cp:coreProperties>
</file>