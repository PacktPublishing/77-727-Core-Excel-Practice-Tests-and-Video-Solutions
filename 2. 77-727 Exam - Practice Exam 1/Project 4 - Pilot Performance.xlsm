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1\"/>
    </mc:Choice>
  </mc:AlternateContent>
  <bookViews>
    <workbookView xWindow="0" yWindow="0" windowWidth="19200" windowHeight="7620"/>
  </bookViews>
  <sheets>
    <sheet name="Pilot Performance" sheetId="1" r:id="rId1"/>
  </sheets>
  <definedNames>
    <definedName name="Region_Bonus">'Pilot Performance'!$I$3:$I$9</definedName>
    <definedName name="test">#REF!,#REF!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1" l="1"/>
  <c r="H10" i="1" s="1"/>
  <c r="I10" i="1" s="1"/>
  <c r="G7" i="1"/>
  <c r="H7" i="1" s="1"/>
  <c r="I7" i="1" s="1"/>
  <c r="G11" i="1" l="1"/>
  <c r="H11" i="1" s="1"/>
  <c r="I11" i="1" s="1"/>
  <c r="G5" i="1"/>
  <c r="H5" i="1" s="1"/>
  <c r="I5" i="1" s="1"/>
  <c r="G9" i="1"/>
  <c r="H9" i="1" s="1"/>
  <c r="I9" i="1" s="1"/>
  <c r="G8" i="1"/>
  <c r="H8" i="1" s="1"/>
  <c r="I8" i="1" s="1"/>
  <c r="G6" i="1"/>
  <c r="H6" i="1" s="1"/>
  <c r="I6" i="1" s="1"/>
  <c r="G3" i="1"/>
  <c r="H3" i="1" s="1"/>
  <c r="I3" i="1" s="1"/>
  <c r="G4" i="1"/>
  <c r="I4" i="1"/>
</calcChain>
</file>

<file path=xl/sharedStrings.xml><?xml version="1.0" encoding="utf-8"?>
<sst xmlns="http://schemas.openxmlformats.org/spreadsheetml/2006/main" count="39" uniqueCount="37">
  <si>
    <t>Pilot First Name</t>
  </si>
  <si>
    <t>Target Hours</t>
  </si>
  <si>
    <t>Excess Hours</t>
  </si>
  <si>
    <t>Bonus Amount</t>
  </si>
  <si>
    <t>Pilot Surname</t>
  </si>
  <si>
    <t>Base Region</t>
  </si>
  <si>
    <t>Flight Hours</t>
  </si>
  <si>
    <t>Bonus Due</t>
  </si>
  <si>
    <t>Murphy</t>
  </si>
  <si>
    <t>Dave</t>
  </si>
  <si>
    <t>Byrne</t>
  </si>
  <si>
    <t>Ted</t>
  </si>
  <si>
    <t>Clapton</t>
  </si>
  <si>
    <t>Eric</t>
  </si>
  <si>
    <t>Salary</t>
  </si>
  <si>
    <t>Green</t>
  </si>
  <si>
    <t>Peter</t>
  </si>
  <si>
    <t>Breem</t>
  </si>
  <si>
    <t>Julian</t>
  </si>
  <si>
    <t>Mayall</t>
  </si>
  <si>
    <t>John</t>
  </si>
  <si>
    <t>Lambert</t>
  </si>
  <si>
    <t>Adam</t>
  </si>
  <si>
    <t>Walker</t>
  </si>
  <si>
    <t>Scott</t>
  </si>
  <si>
    <t>Mitchell</t>
  </si>
  <si>
    <t>Joni</t>
  </si>
  <si>
    <t>EU - Spain</t>
  </si>
  <si>
    <t>US - New York</t>
  </si>
  <si>
    <t>US - Boston</t>
  </si>
  <si>
    <t>US - Chicago</t>
  </si>
  <si>
    <t>EU - Porto</t>
  </si>
  <si>
    <t>EU - Barcelona</t>
  </si>
  <si>
    <t>Bonus Hours</t>
  </si>
  <si>
    <t>Ireland - EU</t>
  </si>
  <si>
    <t>Yes</t>
  </si>
  <si>
    <t>HelpLess Pilots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</si>
</sst>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€&quot;#,##0.00"/>
    <numFmt numFmtId="165" formatCode="0.00_ ;[Red]\-0.00\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8"/>
      <name val="Times New Roman"/>
      <family val="1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0" fontId="2" fillId="2" borderId="0" applyNumberFormat="0" applyProtection="0"/>
  </cellStyleXfs>
  <cellXfs count="8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2">
    <cellStyle name="HelpLess Airlines" xfId="1"/>
    <cellStyle name="Normal" xfId="0" builtinId="0"/>
  </cellStyles>
  <dxfs count="4">
    <dxf>
      <numFmt numFmtId="14" formatCode="0.00%"/>
    </dxf>
    <dxf>
      <numFmt numFmtId="165" formatCode="0.00_ ;[Red]\-0.00\ "/>
    </dxf>
    <dxf>
      <numFmt numFmtId="164" formatCode="&quot;€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17</xdr:row>
      <xdr:rowOff>19050</xdr:rowOff>
    </xdr:from>
    <xdr:to>
      <xdr:col>1</xdr:col>
      <xdr:colOff>425315</xdr:colOff>
      <xdr:row>19</xdr:row>
      <xdr:rowOff>156255</xdr:rowOff>
    </xdr:to>
    <xdr:pic macro="[0]!All_Questions_Project4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405765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20</xdr:row>
      <xdr:rowOff>142875</xdr:rowOff>
    </xdr:from>
    <xdr:to>
      <xdr:col>9</xdr:col>
      <xdr:colOff>1057275</xdr:colOff>
      <xdr:row>27</xdr:row>
      <xdr:rowOff>104775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4752975"/>
          <a:ext cx="976312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Pilots" displayName="Pilots" ref="A2:J11" totalsRowShown="0" headerRowDxfId="3">
  <autoFilter ref="A2:J11"/>
  <sortState ref="A3:J11">
    <sortCondition ref="B3:B11"/>
  </sortState>
  <tableColumns count="10">
    <tableColumn id="1" name="Pilot Surname"/>
    <tableColumn id="2" name="Pilot First Name"/>
    <tableColumn id="3" name="Salary" dataDxfId="2"/>
    <tableColumn id="4" name="Base Region"/>
    <tableColumn id="5" name="Flight Hours"/>
    <tableColumn id="6" name="Target Hours"/>
    <tableColumn id="7" name="Excess Hours" dataDxfId="1">
      <calculatedColumnFormula>E3-F3</calculatedColumnFormula>
    </tableColumn>
    <tableColumn id="8" name="Bonus Due">
      <calculatedColumnFormula>IF(G3&gt;0,"Yes","No")</calculatedColumnFormula>
    </tableColumn>
    <tableColumn id="9" name="Bonus Hours">
      <calculatedColumnFormula>IF(H3="No",0,(E3-F3))</calculatedColumnFormula>
    </tableColumn>
    <tableColumn id="10" name="Bonus 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1"/>
  <sheetViews>
    <sheetView tabSelected="1" workbookViewId="0">
      <selection activeCell="D35" sqref="D35"/>
    </sheetView>
  </sheetViews>
  <sheetFormatPr defaultRowHeight="15" x14ac:dyDescent="0.25"/>
  <cols>
    <col min="1" max="1" width="15.5703125" customWidth="1"/>
    <col min="2" max="2" width="17.28515625" customWidth="1"/>
    <col min="3" max="3" width="15.28515625" customWidth="1"/>
    <col min="4" max="4" width="13.85546875" customWidth="1"/>
    <col min="5" max="5" width="13.7109375" customWidth="1"/>
    <col min="6" max="6" width="14.28515625" customWidth="1"/>
    <col min="7" max="7" width="14.42578125" customWidth="1"/>
    <col min="8" max="8" width="12.5703125" customWidth="1"/>
    <col min="9" max="9" width="15.140625" bestFit="1" customWidth="1"/>
    <col min="10" max="10" width="18.5703125" customWidth="1"/>
    <col min="11" max="11" width="7.5703125" customWidth="1"/>
  </cols>
  <sheetData>
    <row r="1" spans="1:10" ht="33.75" customHeight="1" thickBot="1" x14ac:dyDescent="0.3">
      <c r="A1" s="5" t="s">
        <v>36</v>
      </c>
      <c r="B1" s="6"/>
      <c r="C1" s="6"/>
      <c r="D1" s="6"/>
      <c r="E1" s="6"/>
      <c r="F1" s="6"/>
      <c r="G1" s="6"/>
      <c r="H1" s="6"/>
      <c r="I1" s="6"/>
      <c r="J1" s="7"/>
    </row>
    <row r="2" spans="1:10" ht="34.5" customHeight="1" x14ac:dyDescent="0.25">
      <c r="A2" s="1" t="s">
        <v>4</v>
      </c>
      <c r="B2" s="1" t="s">
        <v>0</v>
      </c>
      <c r="C2" s="1" t="s">
        <v>14</v>
      </c>
      <c r="D2" s="1" t="s">
        <v>5</v>
      </c>
      <c r="E2" s="1" t="s">
        <v>6</v>
      </c>
      <c r="F2" s="1" t="s">
        <v>1</v>
      </c>
      <c r="G2" s="1" t="s">
        <v>2</v>
      </c>
      <c r="H2" s="1" t="s">
        <v>7</v>
      </c>
      <c r="I2" s="1" t="s">
        <v>33</v>
      </c>
      <c r="J2" s="1" t="s">
        <v>3</v>
      </c>
    </row>
    <row r="3" spans="1:10" x14ac:dyDescent="0.25">
      <c r="A3" t="s">
        <v>21</v>
      </c>
      <c r="B3" t="s">
        <v>22</v>
      </c>
      <c r="C3" s="2">
        <v>89000</v>
      </c>
      <c r="D3" t="s">
        <v>32</v>
      </c>
      <c r="E3">
        <v>670</v>
      </c>
      <c r="F3">
        <v>540</v>
      </c>
      <c r="G3" s="3">
        <f t="shared" ref="G3:G11" si="0">E3-F3</f>
        <v>130</v>
      </c>
      <c r="H3" t="str">
        <f>IF(G3&gt;0,"Yes","No")</f>
        <v>Yes</v>
      </c>
      <c r="I3">
        <f t="shared" ref="I3:I11" si="1">IF(H3="No",0,(E3-F3))</f>
        <v>130</v>
      </c>
      <c r="J3" s="4"/>
    </row>
    <row r="4" spans="1:10" x14ac:dyDescent="0.25">
      <c r="A4" t="s">
        <v>8</v>
      </c>
      <c r="B4" t="s">
        <v>9</v>
      </c>
      <c r="C4" s="2">
        <v>123000</v>
      </c>
      <c r="D4" t="s">
        <v>34</v>
      </c>
      <c r="E4">
        <v>652</v>
      </c>
      <c r="F4">
        <v>540</v>
      </c>
      <c r="G4" s="3">
        <f t="shared" si="0"/>
        <v>112</v>
      </c>
      <c r="H4" t="s">
        <v>35</v>
      </c>
      <c r="I4">
        <f t="shared" si="1"/>
        <v>112</v>
      </c>
      <c r="J4" s="4"/>
    </row>
    <row r="5" spans="1:10" x14ac:dyDescent="0.25">
      <c r="A5" t="s">
        <v>12</v>
      </c>
      <c r="B5" t="s">
        <v>13</v>
      </c>
      <c r="C5" s="2">
        <v>134000</v>
      </c>
      <c r="D5" t="s">
        <v>28</v>
      </c>
      <c r="E5">
        <v>555</v>
      </c>
      <c r="F5">
        <v>540</v>
      </c>
      <c r="G5" s="3">
        <f t="shared" si="0"/>
        <v>15</v>
      </c>
      <c r="H5" t="str">
        <f t="shared" ref="H5:H11" si="2">IF(G5&gt;0,"Yes","No")</f>
        <v>Yes</v>
      </c>
      <c r="I5">
        <f t="shared" si="1"/>
        <v>15</v>
      </c>
      <c r="J5" s="4"/>
    </row>
    <row r="6" spans="1:10" x14ac:dyDescent="0.25">
      <c r="A6" t="s">
        <v>19</v>
      </c>
      <c r="B6" t="s">
        <v>20</v>
      </c>
      <c r="C6" s="2">
        <v>134000</v>
      </c>
      <c r="D6" t="s">
        <v>31</v>
      </c>
      <c r="E6">
        <v>360</v>
      </c>
      <c r="F6">
        <v>320</v>
      </c>
      <c r="G6" s="3">
        <f t="shared" si="0"/>
        <v>40</v>
      </c>
      <c r="H6" t="str">
        <f t="shared" si="2"/>
        <v>Yes</v>
      </c>
      <c r="I6">
        <f t="shared" si="1"/>
        <v>40</v>
      </c>
      <c r="J6" s="4"/>
    </row>
    <row r="7" spans="1:10" x14ac:dyDescent="0.25">
      <c r="A7" t="s">
        <v>25</v>
      </c>
      <c r="B7" t="s">
        <v>26</v>
      </c>
      <c r="C7" s="2">
        <v>123000</v>
      </c>
      <c r="D7" t="s">
        <v>29</v>
      </c>
      <c r="E7">
        <v>498</v>
      </c>
      <c r="F7">
        <v>540</v>
      </c>
      <c r="G7" s="3">
        <f t="shared" si="0"/>
        <v>-42</v>
      </c>
      <c r="H7" t="str">
        <f t="shared" si="2"/>
        <v>No</v>
      </c>
      <c r="I7">
        <f t="shared" si="1"/>
        <v>0</v>
      </c>
      <c r="J7" s="4"/>
    </row>
    <row r="8" spans="1:10" x14ac:dyDescent="0.25">
      <c r="A8" t="s">
        <v>17</v>
      </c>
      <c r="B8" t="s">
        <v>18</v>
      </c>
      <c r="C8" s="2">
        <v>87000</v>
      </c>
      <c r="D8" t="s">
        <v>30</v>
      </c>
      <c r="E8">
        <v>145</v>
      </c>
      <c r="F8">
        <v>121</v>
      </c>
      <c r="G8" s="3">
        <f t="shared" si="0"/>
        <v>24</v>
      </c>
      <c r="H8" t="str">
        <f t="shared" si="2"/>
        <v>Yes</v>
      </c>
      <c r="I8">
        <f t="shared" si="1"/>
        <v>24</v>
      </c>
      <c r="J8" s="4"/>
    </row>
    <row r="9" spans="1:10" x14ac:dyDescent="0.25">
      <c r="A9" t="s">
        <v>15</v>
      </c>
      <c r="B9" t="s">
        <v>16</v>
      </c>
      <c r="C9" s="2">
        <v>98000</v>
      </c>
      <c r="D9" t="s">
        <v>29</v>
      </c>
      <c r="E9">
        <v>89</v>
      </c>
      <c r="F9">
        <v>121</v>
      </c>
      <c r="G9" s="3">
        <f t="shared" si="0"/>
        <v>-32</v>
      </c>
      <c r="H9" t="str">
        <f t="shared" si="2"/>
        <v>No</v>
      </c>
      <c r="I9">
        <f t="shared" si="1"/>
        <v>0</v>
      </c>
      <c r="J9" s="4"/>
    </row>
    <row r="10" spans="1:10" x14ac:dyDescent="0.25">
      <c r="A10" t="s">
        <v>23</v>
      </c>
      <c r="B10" t="s">
        <v>24</v>
      </c>
      <c r="C10" s="2">
        <v>78000</v>
      </c>
      <c r="D10" t="s">
        <v>28</v>
      </c>
      <c r="E10">
        <v>120</v>
      </c>
      <c r="F10">
        <v>121</v>
      </c>
      <c r="G10" s="3">
        <f t="shared" si="0"/>
        <v>-1</v>
      </c>
      <c r="H10" t="str">
        <f t="shared" si="2"/>
        <v>No</v>
      </c>
      <c r="I10">
        <f t="shared" si="1"/>
        <v>0</v>
      </c>
      <c r="J10" s="4"/>
    </row>
    <row r="11" spans="1:10" x14ac:dyDescent="0.25">
      <c r="A11" t="s">
        <v>10</v>
      </c>
      <c r="B11" t="s">
        <v>11</v>
      </c>
      <c r="C11" s="2">
        <v>78000</v>
      </c>
      <c r="D11" t="s">
        <v>27</v>
      </c>
      <c r="E11">
        <v>380</v>
      </c>
      <c r="F11">
        <v>320</v>
      </c>
      <c r="G11" s="3">
        <f t="shared" si="0"/>
        <v>60</v>
      </c>
      <c r="H11" t="str">
        <f t="shared" si="2"/>
        <v>Yes</v>
      </c>
      <c r="I11">
        <f t="shared" si="1"/>
        <v>60</v>
      </c>
      <c r="J11" s="4"/>
    </row>
  </sheetData>
  <mergeCells count="1">
    <mergeCell ref="A1:J1"/>
  </mergeCell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Pilot Performance</vt:lpstr>
      <vt:lpstr>Region_Bonus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2018-07-20T17:17:07Z</dcterms:created>
  <dcterms:modified xsi:type="dcterms:W3CDTF">2019-01-30T09:31:43Z</dcterms:modified>
</cp:coreProperties>
</file>