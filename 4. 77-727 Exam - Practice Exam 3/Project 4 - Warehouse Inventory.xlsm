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Murphy\Dropbox\Packt Publishing\77-727 Core Excel Practice Tests and Video Solutions\77-727 Exam - Practice Exam 3\"/>
    </mc:Choice>
  </mc:AlternateContent>
  <bookViews>
    <workbookView xWindow="0" yWindow="0" windowWidth="28800" windowHeight="11160"/>
  </bookViews>
  <sheets>
    <sheet name="Inventory List" sheetId="2" r:id="rId1"/>
    <sheet name="Inventory Pick List" sheetId="11" r:id="rId2"/>
  </sheets>
  <definedNames>
    <definedName name="BinNumber">#REF!</definedName>
    <definedName name="ColumnTitle1">InventoryList[[#Headers],[SKU]]</definedName>
    <definedName name="ColumnTitle2">InventoryPickList[[#Headers],[ORDER '#]]</definedName>
    <definedName name="ColumnTitle3">#REF!</definedName>
    <definedName name="_xlnm.Print_Titles" localSheetId="0">'Inventory List'!$2:$2</definedName>
    <definedName name="_xlnm.Print_Titles" localSheetId="1">'Inventory Pick List'!$2:$2</definedName>
    <definedName name="SKULookup">InventoryList[SKU]</definedName>
  </definedNames>
  <calcPr calcId="162913"/>
</workbook>
</file>

<file path=xl/calcChain.xml><?xml version="1.0" encoding="utf-8"?>
<calcChain xmlns="http://schemas.openxmlformats.org/spreadsheetml/2006/main">
  <c r="J3" i="2" l="1"/>
  <c r="J4" i="2"/>
  <c r="J5" i="2"/>
  <c r="J6" i="2"/>
  <c r="J7" i="2"/>
  <c r="J8" i="2"/>
  <c r="J9" i="2"/>
  <c r="J10" i="2"/>
  <c r="J11" i="2"/>
  <c r="J12" i="2"/>
  <c r="J13" i="2"/>
  <c r="H7" i="11" l="1"/>
  <c r="H6" i="11"/>
  <c r="H5" i="11"/>
  <c r="H4" i="11"/>
  <c r="H3" i="11"/>
  <c r="G7" i="11"/>
  <c r="G6" i="11"/>
  <c r="G5" i="11"/>
  <c r="G4" i="11"/>
  <c r="G3" i="11"/>
  <c r="F7" i="11"/>
  <c r="F6" i="11"/>
  <c r="F5" i="11"/>
  <c r="F4" i="11"/>
  <c r="F3" i="11"/>
  <c r="E7" i="11"/>
  <c r="E6" i="11"/>
  <c r="E5" i="11"/>
  <c r="E4" i="11"/>
  <c r="E3" i="11"/>
  <c r="K5" i="2" l="1"/>
  <c r="K4" i="2"/>
  <c r="K12" i="2"/>
  <c r="K11" i="2"/>
  <c r="K10" i="2"/>
  <c r="K9" i="2"/>
  <c r="K8" i="2"/>
  <c r="K7" i="2"/>
  <c r="K6" i="2"/>
  <c r="K3" i="2"/>
  <c r="K13" i="2"/>
  <c r="E5" i="2" l="1"/>
  <c r="E4" i="2"/>
  <c r="I6" i="11" s="1"/>
  <c r="E13" i="2"/>
  <c r="E12" i="2"/>
  <c r="E11" i="2"/>
  <c r="I5" i="11" s="1"/>
  <c r="E10" i="2"/>
  <c r="E9" i="2"/>
  <c r="E8" i="2"/>
  <c r="I4" i="11" s="1"/>
  <c r="E7" i="2"/>
  <c r="I7" i="11" s="1"/>
  <c r="E6" i="2"/>
  <c r="E3" i="2"/>
  <c r="I3" i="11" s="1"/>
</calcChain>
</file>

<file path=xl/sharedStrings.xml><?xml version="1.0" encoding="utf-8"?>
<sst xmlns="http://schemas.openxmlformats.org/spreadsheetml/2006/main" count="74" uniqueCount="48">
  <si>
    <t>SKU</t>
  </si>
  <si>
    <t>T345</t>
  </si>
  <si>
    <t>T5789</t>
  </si>
  <si>
    <t>T9876</t>
  </si>
  <si>
    <t>Item 3</t>
  </si>
  <si>
    <t>T098</t>
  </si>
  <si>
    <t>T349</t>
  </si>
  <si>
    <t>T9875</t>
  </si>
  <si>
    <t>Item 1</t>
  </si>
  <si>
    <t>Item 2</t>
  </si>
  <si>
    <t>Item 4</t>
  </si>
  <si>
    <t>Item 5</t>
  </si>
  <si>
    <t>Item 6</t>
  </si>
  <si>
    <t>Item 7</t>
  </si>
  <si>
    <t>Item 8</t>
  </si>
  <si>
    <t>Item 9</t>
  </si>
  <si>
    <t>Item 10</t>
  </si>
  <si>
    <t>Each</t>
  </si>
  <si>
    <t>TS3456</t>
  </si>
  <si>
    <t>Box (10 ct)</t>
  </si>
  <si>
    <t>Package (5 ct)</t>
  </si>
  <si>
    <t>SP7875</t>
  </si>
  <si>
    <t>TR87680</t>
  </si>
  <si>
    <t>MK676554</t>
  </si>
  <si>
    <t>YE98767</t>
  </si>
  <si>
    <t>XR23423</t>
  </si>
  <si>
    <t>PW98762</t>
  </si>
  <si>
    <t>BM87684</t>
  </si>
  <si>
    <t>BH67655</t>
  </si>
  <si>
    <t>WT98768</t>
  </si>
  <si>
    <t>TP001-1</t>
  </si>
  <si>
    <t>DESCRIPTION</t>
  </si>
  <si>
    <t>BIN #</t>
  </si>
  <si>
    <t>LOCATION</t>
  </si>
  <si>
    <t>UNIT</t>
  </si>
  <si>
    <t>QTY</t>
  </si>
  <si>
    <t>REORDER QTY</t>
  </si>
  <si>
    <t>COST</t>
  </si>
  <si>
    <t>INVENTORY VALUE</t>
  </si>
  <si>
    <t>REORDER</t>
  </si>
  <si>
    <t>Item 11</t>
  </si>
  <si>
    <t>WDG123</t>
  </si>
  <si>
    <t>INVENTORY PICK LIST</t>
  </si>
  <si>
    <t>ORDER #</t>
  </si>
  <si>
    <t>PICK QTY</t>
  </si>
  <si>
    <t>QTY AVAILABLE</t>
  </si>
  <si>
    <t>ITEM DESCRIPTION</t>
  </si>
  <si>
    <t>INVENTORY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</si>
</sst>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7" formatCode="&quot;$&quot;#,##0.00_);\(&quot;$&quot;#,##0.00\)"/>
    <numFmt numFmtId="164" formatCode="&quot;Reorder&quot;;&quot;&quot;;&quot;&quot;"/>
  </numFmts>
  <fonts count="11" x14ac:knownFonts="1">
    <font>
      <sz val="11"/>
      <color theme="3" tint="0.14993743705557422"/>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12">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6">
    <xf numFmtId="0" fontId="0" fillId="0" borderId="0">
      <alignment vertical="center"/>
    </xf>
    <xf numFmtId="0" fontId="1" fillId="0" borderId="1" applyNumberFormat="0" applyFill="0" applyAlignment="0" applyProtection="0"/>
    <xf numFmtId="0" fontId="8" fillId="2" borderId="0" applyNumberFormat="0" applyProtection="0">
      <alignment horizontal="left" vertical="center" indent="1"/>
    </xf>
    <xf numFmtId="0" fontId="2" fillId="0" borderId="0" applyNumberFormat="0" applyFill="0" applyBorder="0" applyAlignment="0" applyProtection="0"/>
    <xf numFmtId="0" fontId="4" fillId="0" borderId="1" applyNumberFormat="0" applyFill="0" applyAlignment="0" applyProtection="0"/>
    <xf numFmtId="0" fontId="4" fillId="0" borderId="0" applyNumberFormat="0" applyFill="0" applyBorder="0" applyAlignment="0" applyProtection="0"/>
    <xf numFmtId="0" fontId="3" fillId="0" borderId="2" applyNumberFormat="0" applyFill="0" applyAlignment="0" applyProtection="0"/>
    <xf numFmtId="164" fontId="10" fillId="0" borderId="0">
      <alignment horizontal="center" vertical="center"/>
    </xf>
    <xf numFmtId="0" fontId="7" fillId="2" borderId="0" applyNumberFormat="0" applyProtection="0">
      <alignment horizontal="right" indent="1"/>
    </xf>
    <xf numFmtId="0" fontId="9" fillId="0" borderId="0" applyNumberFormat="0" applyProtection="0">
      <alignment horizontal="center"/>
    </xf>
    <xf numFmtId="0" fontId="9" fillId="0" borderId="0" applyNumberFormat="0" applyProtection="0">
      <alignment horizontal="center"/>
    </xf>
    <xf numFmtId="0" fontId="5" fillId="0" borderId="0" applyNumberFormat="0" applyFill="0" applyBorder="0" applyProtection="0">
      <alignment horizontal="left" vertical="top"/>
    </xf>
    <xf numFmtId="0" fontId="6" fillId="0" borderId="0">
      <alignment horizontal="left" vertical="center" wrapText="1" indent="1"/>
    </xf>
    <xf numFmtId="1" fontId="6" fillId="0" borderId="0">
      <alignment horizontal="center" vertical="center"/>
    </xf>
    <xf numFmtId="7" fontId="6" fillId="0" borderId="0">
      <alignment horizontal="right" vertical="center"/>
    </xf>
    <xf numFmtId="0" fontId="7" fillId="0" borderId="0" applyNumberFormat="0" applyFill="0" applyBorder="0">
      <alignment horizontal="center"/>
    </xf>
  </cellStyleXfs>
  <cellXfs count="24">
    <xf numFmtId="0" fontId="0" fillId="0" borderId="0" xfId="0">
      <alignment vertical="center"/>
    </xf>
    <xf numFmtId="0" fontId="1" fillId="0" borderId="0" xfId="1" applyBorder="1" applyAlignment="1"/>
    <xf numFmtId="0" fontId="1" fillId="0" borderId="0" xfId="1" applyBorder="1" applyAlignment="1">
      <alignment vertical="center"/>
    </xf>
    <xf numFmtId="0" fontId="8" fillId="2" borderId="4" xfId="2" applyBorder="1">
      <alignment horizontal="left" vertical="center" indent="1"/>
    </xf>
    <xf numFmtId="0" fontId="8" fillId="2" borderId="5" xfId="2" applyBorder="1">
      <alignment horizontal="left" vertical="center" indent="1"/>
    </xf>
    <xf numFmtId="0" fontId="8" fillId="2" borderId="6" xfId="2" applyBorder="1">
      <alignment horizontal="left" vertical="center" indent="1"/>
    </xf>
    <xf numFmtId="0" fontId="6" fillId="0" borderId="7" xfId="12" applyBorder="1">
      <alignment horizontal="left" vertical="center" wrapText="1" indent="1"/>
    </xf>
    <xf numFmtId="0" fontId="6" fillId="0" borderId="3" xfId="12" applyBorder="1">
      <alignment horizontal="left" vertical="center" wrapText="1" indent="1"/>
    </xf>
    <xf numFmtId="1" fontId="6" fillId="0" borderId="3" xfId="13" applyBorder="1">
      <alignment horizontal="center" vertical="center"/>
    </xf>
    <xf numFmtId="7" fontId="6" fillId="0" borderId="3" xfId="14" applyNumberFormat="1" applyBorder="1">
      <alignment horizontal="right" vertical="center"/>
    </xf>
    <xf numFmtId="7" fontId="6" fillId="0" borderId="3" xfId="14" applyBorder="1">
      <alignment horizontal="right" vertical="center"/>
    </xf>
    <xf numFmtId="164" fontId="10" fillId="0" borderId="8" xfId="7" applyBorder="1">
      <alignment horizontal="center" vertical="center"/>
    </xf>
    <xf numFmtId="0" fontId="6" fillId="0" borderId="9" xfId="12" applyBorder="1">
      <alignment horizontal="left" vertical="center" wrapText="1" indent="1"/>
    </xf>
    <xf numFmtId="0" fontId="6" fillId="0" borderId="10" xfId="12" applyBorder="1">
      <alignment horizontal="left" vertical="center" wrapText="1" indent="1"/>
    </xf>
    <xf numFmtId="1" fontId="6" fillId="0" borderId="10" xfId="13" applyBorder="1">
      <alignment horizontal="center" vertical="center"/>
    </xf>
    <xf numFmtId="7" fontId="6" fillId="0" borderId="10" xfId="14" applyBorder="1">
      <alignment horizontal="right" vertical="center"/>
    </xf>
    <xf numFmtId="164" fontId="10" fillId="0" borderId="11" xfId="7" applyBorder="1">
      <alignment horizontal="center" vertical="center"/>
    </xf>
    <xf numFmtId="7" fontId="6" fillId="0" borderId="8" xfId="14" applyNumberFormat="1" applyBorder="1">
      <alignment horizontal="right" vertical="center"/>
    </xf>
    <xf numFmtId="7" fontId="6" fillId="0" borderId="8" xfId="14" applyBorder="1">
      <alignment horizontal="right" vertical="center"/>
    </xf>
    <xf numFmtId="7" fontId="6" fillId="0" borderId="11" xfId="14" applyBorder="1">
      <alignment horizontal="right" vertical="center"/>
    </xf>
    <xf numFmtId="0" fontId="8" fillId="2" borderId="6" xfId="2" applyBorder="1" applyAlignment="1">
      <alignment horizontal="left" vertical="center" wrapText="1" indent="1"/>
    </xf>
    <xf numFmtId="0" fontId="1" fillId="0" borderId="0" xfId="1" applyBorder="1"/>
    <xf numFmtId="0" fontId="6" fillId="0" borderId="8" xfId="12" applyBorder="1">
      <alignment horizontal="left" vertical="center" wrapText="1" indent="1"/>
    </xf>
    <xf numFmtId="0" fontId="6" fillId="0" borderId="11" xfId="12" applyBorder="1">
      <alignment horizontal="left" vertical="center" wrapText="1" indent="1"/>
    </xf>
  </cellXfs>
  <cellStyles count="16">
    <cellStyle name="Flag Column" xfId="7"/>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cellStyle name="Table details left aligned" xfId="12"/>
    <cellStyle name="Table details right aligned" xfId="14"/>
    <cellStyle name="Title" xfId="1" builtinId="15" customBuiltin="1"/>
    <cellStyle name="Total" xfId="6" builtinId="25" customBuiltin="1"/>
    <cellStyle name="Total counts" xfId="11"/>
    <cellStyle name="zHide navigation link text" xfId="15"/>
  </cellStyles>
  <dxfs count="34">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i val="0"/>
      </font>
    </dxf>
    <dxf>
      <fill>
        <patternFill>
          <bgColor theme="5" tint="0.59996337778862885"/>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numFmt numFmtId="11" formatCode="&quot;$&quot;#,##0.00_);\(&quot;$&quot;#,##0.0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alignmen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i val="0"/>
      </font>
    </dxf>
    <dxf>
      <fill>
        <patternFill>
          <bgColor theme="5" tint="0.59996337778862885"/>
        </patternFill>
      </fill>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tableStyleElement type="wholeTable" dxfId="33"/>
      <tableStyleElement type="headerRow" dxfId="32"/>
      <tableStyleElement type="lastColumn" dxfId="31"/>
      <tableStyleElement type="secondRowStripe" dxfId="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15</xdr:row>
      <xdr:rowOff>19050</xdr:rowOff>
    </xdr:from>
    <xdr:to>
      <xdr:col>1</xdr:col>
      <xdr:colOff>1406390</xdr:colOff>
      <xdr:row>17</xdr:row>
      <xdr:rowOff>156255</xdr:rowOff>
    </xdr:to>
    <xdr:pic macro="[0]!All_Questions">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3152775"/>
          <a:ext cx="1377815" cy="518205"/>
        </a:xfrm>
        <a:prstGeom prst="rect">
          <a:avLst/>
        </a:prstGeom>
      </xdr:spPr>
    </xdr:pic>
    <xdr:clientData/>
  </xdr:twoCellAnchor>
  <xdr:twoCellAnchor editAs="oneCell">
    <xdr:from>
      <xdr:col>1</xdr:col>
      <xdr:colOff>95250</xdr:colOff>
      <xdr:row>18</xdr:row>
      <xdr:rowOff>85725</xdr:rowOff>
    </xdr:from>
    <xdr:to>
      <xdr:col>6</xdr:col>
      <xdr:colOff>228600</xdr:colOff>
      <xdr:row>27</xdr:row>
      <xdr:rowOff>47625</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3850" y="3790950"/>
          <a:ext cx="9153525" cy="167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1</xdr:col>
      <xdr:colOff>1377815</xdr:colOff>
      <xdr:row>12</xdr:row>
      <xdr:rowOff>137205</xdr:rowOff>
    </xdr:to>
    <xdr:pic macro="[0]!All_Questions_2">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5" y="2333625"/>
          <a:ext cx="1377815" cy="518205"/>
        </a:xfrm>
        <a:prstGeom prst="rect">
          <a:avLst/>
        </a:prstGeom>
      </xdr:spPr>
    </xdr:pic>
    <xdr:clientData/>
  </xdr:twoCellAnchor>
  <xdr:twoCellAnchor editAs="oneCell">
    <xdr:from>
      <xdr:col>1</xdr:col>
      <xdr:colOff>47625</xdr:colOff>
      <xdr:row>13</xdr:row>
      <xdr:rowOff>0</xdr:rowOff>
    </xdr:from>
    <xdr:to>
      <xdr:col>6</xdr:col>
      <xdr:colOff>495300</xdr:colOff>
      <xdr:row>21</xdr:row>
      <xdr:rowOff>152400</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9550" y="2905125"/>
          <a:ext cx="9153525" cy="167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InventoryList" displayName="InventoryList" ref="B2:K13" headerRowDxfId="27" totalsRowDxfId="24" headerRowBorderDxfId="26" tableBorderDxfId="25" headerRowCellStyle="Heading 1">
  <autoFilter ref="B2:K13"/>
  <sortState ref="B3:K13">
    <sortCondition ref="C2:C13"/>
  </sortState>
  <tableColumns count="10">
    <tableColumn id="1" name="SKU" totalsRowLabel="Totals" dataDxfId="23" dataCellStyle="Table details left aligned"/>
    <tableColumn id="2" name="DESCRIPTION" dataDxfId="22" dataCellStyle="Table details left aligned"/>
    <tableColumn id="3" name="BIN #" dataDxfId="21" dataCellStyle="Table details left aligned"/>
    <tableColumn id="4" name="LOCATION" dataDxfId="20" dataCellStyle="Table details left aligned">
      <calculatedColumnFormula>IFERROR(VLOOKUP(InventoryList[[#This Row],[BIN '#]],#REF!,3,FALSE),"")</calculatedColumnFormula>
    </tableColumn>
    <tableColumn id="5" name="UNIT" dataDxfId="19" dataCellStyle="Table details left aligned"/>
    <tableColumn id="6" name="QTY" dataDxfId="18" dataCellStyle="Table details center aligned"/>
    <tableColumn id="8" name="REORDER QTY" dataDxfId="17" dataCellStyle="Table details center aligned"/>
    <tableColumn id="7" name="COST" dataDxfId="16" dataCellStyle="Table details right aligned"/>
    <tableColumn id="10" name="INVENTORY VALUE" dataDxfId="15" dataCellStyle="Table details right aligned">
      <calculatedColumnFormula>InventoryList[[#This Row],[COST]]*InventoryList[[#This Row],[QTY]]</calculatedColumnFormula>
    </tableColumn>
    <tableColumn id="9" name="REORDER" dataDxfId="14"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xml><?xml version="1.0" encoding="utf-8"?>
<table xmlns="http://schemas.openxmlformats.org/spreadsheetml/2006/main" id="4" name="InventoryPickList" displayName="InventoryPickList" ref="B2:I7" totalsRowShown="0" headerRowDxfId="11" headerRowBorderDxfId="10" tableBorderDxfId="9" totalsRowBorderDxfId="8" headerRowCellStyle="Heading 1" dataCellStyle="Table details left aligned">
  <autoFilter ref="B2:I7"/>
  <sortState ref="B3:I7">
    <sortCondition ref="I2:I7"/>
  </sortState>
  <tableColumns count="8">
    <tableColumn id="9" name="ORDER #" dataDxfId="7" dataCellStyle="Table details left aligned"/>
    <tableColumn id="1" name="SKU" dataDxfId="6" dataCellStyle="Table details left aligned"/>
    <tableColumn id="6" name="PICK QTY" dataDxfId="5" dataCellStyle="Table details left aligned"/>
    <tableColumn id="7" name="QTY AVAILABLE" dataDxfId="4" dataCellStyle="Table details left aligned">
      <calculatedColumnFormula>IFERROR(VLOOKUP(InventoryPickList[SKU],InventoryList[],6,FALSE),"")</calculatedColumnFormula>
    </tableColumn>
    <tableColumn id="2" name="ITEM DESCRIPTION" dataDxfId="3" dataCellStyle="Table details left aligned">
      <calculatedColumnFormula>IFERROR(VLOOKUP(InventoryPickList[SKU],InventoryList[],2,FALSE),"")</calculatedColumnFormula>
    </tableColumn>
    <tableColumn id="8" name="UNIT" dataDxfId="2" dataCellStyle="Table details left aligned">
      <calculatedColumnFormula>IFERROR(VLOOKUP(InventoryPickList[SKU],InventoryList[],5,FALSE),"")</calculatedColumnFormula>
    </tableColumn>
    <tableColumn id="3" name="BIN #" dataDxfId="1" dataCellStyle="Table details left aligned">
      <calculatedColumnFormula>IFERROR(VLOOKUP(InventoryPickList[SKU],InventoryList[],3,FALSE),"")</calculatedColumnFormula>
    </tableColumn>
    <tableColumn id="4" name="LOCATION" dataDxfId="0" dataCellStyle="Table details left aligned">
      <calculatedColumnFormula>IFERROR(VLOOKUP(InventoryPickList[SKU],InventoryList[],4,FALSE),"")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ventoryList">
    <tabColor theme="0"/>
    <pageSetUpPr autoPageBreaks="0" fitToPage="1"/>
  </sheetPr>
  <dimension ref="B1:K13"/>
  <sheetViews>
    <sheetView tabSelected="1" zoomScaleNormal="100" workbookViewId="0">
      <selection activeCell="B1" sqref="B1"/>
    </sheetView>
  </sheetViews>
  <sheetFormatPr defaultRowHeight="15" customHeight="1" x14ac:dyDescent="0.3"/>
  <cols>
    <col min="1" max="1" width="2.6640625" customWidth="1"/>
    <col min="2" max="2" width="20.77734375" customWidth="1"/>
    <col min="3" max="3" width="27.44140625" customWidth="1"/>
    <col min="4" max="4" width="14.109375" customWidth="1"/>
    <col min="5" max="5" width="21.109375" customWidth="1"/>
    <col min="6" max="6" width="21.77734375" customWidth="1"/>
    <col min="7" max="7" width="9.44140625" customWidth="1"/>
    <col min="8" max="8" width="15.6640625" customWidth="1"/>
    <col min="9" max="10" width="11.88671875" customWidth="1"/>
    <col min="11" max="11" width="13.33203125" customWidth="1"/>
    <col min="12" max="12" width="16.109375" customWidth="1"/>
    <col min="13" max="13" width="11.44140625" customWidth="1"/>
  </cols>
  <sheetData>
    <row r="1" spans="2:11" ht="36.75" customHeight="1" x14ac:dyDescent="0.45">
      <c r="B1" s="1" t="s">
        <v>47</v>
      </c>
      <c r="C1" s="1"/>
      <c r="D1" s="1"/>
      <c r="E1" s="2"/>
      <c r="F1" s="2"/>
      <c r="G1" s="2"/>
      <c r="H1" s="2"/>
      <c r="I1" s="2"/>
      <c r="J1" s="2"/>
      <c r="K1" s="2"/>
    </row>
    <row r="2" spans="2:11" ht="15" customHeight="1" x14ac:dyDescent="0.3">
      <c r="B2" s="3" t="s">
        <v>0</v>
      </c>
      <c r="C2" s="4" t="s">
        <v>31</v>
      </c>
      <c r="D2" s="4" t="s">
        <v>32</v>
      </c>
      <c r="E2" s="4" t="s">
        <v>33</v>
      </c>
      <c r="F2" s="4" t="s">
        <v>34</v>
      </c>
      <c r="G2" s="4" t="s">
        <v>35</v>
      </c>
      <c r="H2" s="4" t="s">
        <v>36</v>
      </c>
      <c r="I2" s="4" t="s">
        <v>37</v>
      </c>
      <c r="J2" s="20" t="s">
        <v>38</v>
      </c>
      <c r="K2" s="5" t="s">
        <v>39</v>
      </c>
    </row>
    <row r="3" spans="2:11" ht="15" customHeight="1" x14ac:dyDescent="0.3">
      <c r="B3" s="6" t="s">
        <v>21</v>
      </c>
      <c r="C3" s="7" t="s">
        <v>8</v>
      </c>
      <c r="D3" s="7" t="s">
        <v>1</v>
      </c>
      <c r="E3" s="7" t="str">
        <f>IFERROR(VLOOKUP(InventoryList[[#This Row],[BIN '#]],#REF!,3,FALSE),"")</f>
        <v/>
      </c>
      <c r="F3" s="7" t="s">
        <v>17</v>
      </c>
      <c r="G3" s="8">
        <v>20</v>
      </c>
      <c r="H3" s="8">
        <v>10</v>
      </c>
      <c r="I3" s="9">
        <v>30</v>
      </c>
      <c r="J3" s="17">
        <f>InventoryList[[#This Row],[COST]]*InventoryList[[#This Row],[QTY]]</f>
        <v>600</v>
      </c>
      <c r="K3" s="11">
        <f>IFERROR(IF(InventoryList[[#This Row],[QTY]]&lt;=InventoryList[[#This Row],[REORDER QTY]],1,0),0)</f>
        <v>0</v>
      </c>
    </row>
    <row r="4" spans="2:11" ht="15" customHeight="1" x14ac:dyDescent="0.3">
      <c r="B4" s="6" t="s">
        <v>18</v>
      </c>
      <c r="C4" s="7" t="s">
        <v>16</v>
      </c>
      <c r="D4" s="7" t="s">
        <v>6</v>
      </c>
      <c r="E4" s="7" t="str">
        <f>IFERROR(VLOOKUP(InventoryList[[#This Row],[BIN '#]],#REF!,3,FALSE),"")</f>
        <v/>
      </c>
      <c r="F4" s="7" t="s">
        <v>17</v>
      </c>
      <c r="G4" s="8">
        <v>15</v>
      </c>
      <c r="H4" s="8">
        <v>8</v>
      </c>
      <c r="I4" s="10">
        <v>60</v>
      </c>
      <c r="J4" s="18">
        <f>InventoryList[[#This Row],[COST]]*InventoryList[[#This Row],[QTY]]</f>
        <v>900</v>
      </c>
      <c r="K4" s="11">
        <f>IFERROR(IF(InventoryList[[#This Row],[QTY]]&lt;=InventoryList[[#This Row],[REORDER QTY]],1,0),0)</f>
        <v>0</v>
      </c>
    </row>
    <row r="5" spans="2:11" ht="15" customHeight="1" x14ac:dyDescent="0.3">
      <c r="B5" s="6" t="s">
        <v>41</v>
      </c>
      <c r="C5" s="7" t="s">
        <v>40</v>
      </c>
      <c r="D5" s="7" t="s">
        <v>6</v>
      </c>
      <c r="E5" s="7" t="str">
        <f>IFERROR(VLOOKUP(InventoryList[[#This Row],[BIN '#]],#REF!,3,FALSE),"")</f>
        <v/>
      </c>
      <c r="F5" s="7" t="s">
        <v>17</v>
      </c>
      <c r="G5" s="8">
        <v>25</v>
      </c>
      <c r="H5" s="8">
        <v>15</v>
      </c>
      <c r="I5" s="10">
        <v>8</v>
      </c>
      <c r="J5" s="18">
        <f>InventoryList[[#This Row],[COST]]*InventoryList[[#This Row],[QTY]]</f>
        <v>200</v>
      </c>
      <c r="K5" s="11">
        <f>IFERROR(IF(InventoryList[[#This Row],[QTY]]&lt;=InventoryList[[#This Row],[REORDER QTY]],1,0),0)</f>
        <v>0</v>
      </c>
    </row>
    <row r="6" spans="2:11" ht="15" customHeight="1" x14ac:dyDescent="0.3">
      <c r="B6" s="6" t="s">
        <v>22</v>
      </c>
      <c r="C6" s="7" t="s">
        <v>9</v>
      </c>
      <c r="D6" s="7" t="s">
        <v>1</v>
      </c>
      <c r="E6" s="7" t="str">
        <f>IFERROR(VLOOKUP(InventoryList[[#This Row],[BIN '#]],#REF!,3,FALSE),"")</f>
        <v/>
      </c>
      <c r="F6" s="7" t="s">
        <v>17</v>
      </c>
      <c r="G6" s="8">
        <v>30</v>
      </c>
      <c r="H6" s="8">
        <v>15</v>
      </c>
      <c r="I6" s="10">
        <v>40</v>
      </c>
      <c r="J6" s="18">
        <f>InventoryList[[#This Row],[COST]]*InventoryList[[#This Row],[QTY]]</f>
        <v>1200</v>
      </c>
      <c r="K6" s="11">
        <f>IFERROR(IF(InventoryList[[#This Row],[QTY]]&lt;=InventoryList[[#This Row],[REORDER QTY]],1,0),0)</f>
        <v>0</v>
      </c>
    </row>
    <row r="7" spans="2:11" ht="15" customHeight="1" x14ac:dyDescent="0.3">
      <c r="B7" s="6" t="s">
        <v>23</v>
      </c>
      <c r="C7" s="7" t="s">
        <v>4</v>
      </c>
      <c r="D7" s="7" t="s">
        <v>2</v>
      </c>
      <c r="E7" s="7" t="str">
        <f>IFERROR(VLOOKUP(InventoryList[[#This Row],[BIN '#]],#REF!,3,FALSE),"")</f>
        <v/>
      </c>
      <c r="F7" s="7" t="s">
        <v>17</v>
      </c>
      <c r="G7" s="8">
        <v>10</v>
      </c>
      <c r="H7" s="8">
        <v>5</v>
      </c>
      <c r="I7" s="10">
        <v>5</v>
      </c>
      <c r="J7" s="18">
        <f>InventoryList[[#This Row],[COST]]*InventoryList[[#This Row],[QTY]]</f>
        <v>50</v>
      </c>
      <c r="K7" s="11">
        <f>IFERROR(IF(InventoryList[[#This Row],[QTY]]&lt;=InventoryList[[#This Row],[REORDER QTY]],1,0),0)</f>
        <v>0</v>
      </c>
    </row>
    <row r="8" spans="2:11" ht="15" customHeight="1" x14ac:dyDescent="0.3">
      <c r="B8" s="6" t="s">
        <v>24</v>
      </c>
      <c r="C8" s="7" t="s">
        <v>10</v>
      </c>
      <c r="D8" s="7" t="s">
        <v>3</v>
      </c>
      <c r="E8" s="7" t="str">
        <f>IFERROR(VLOOKUP(InventoryList[[#This Row],[BIN '#]],#REF!,3,FALSE),"")</f>
        <v/>
      </c>
      <c r="F8" s="7" t="s">
        <v>19</v>
      </c>
      <c r="G8" s="8">
        <v>40</v>
      </c>
      <c r="H8" s="8">
        <v>10</v>
      </c>
      <c r="I8" s="10">
        <v>15</v>
      </c>
      <c r="J8" s="18">
        <f>InventoryList[[#This Row],[COST]]*InventoryList[[#This Row],[QTY]]</f>
        <v>600</v>
      </c>
      <c r="K8" s="11">
        <f>IFERROR(IF(InventoryList[[#This Row],[QTY]]&lt;=InventoryList[[#This Row],[REORDER QTY]],1,0),0)</f>
        <v>0</v>
      </c>
    </row>
    <row r="9" spans="2:11" ht="15" customHeight="1" x14ac:dyDescent="0.3">
      <c r="B9" s="6" t="s">
        <v>25</v>
      </c>
      <c r="C9" s="7" t="s">
        <v>11</v>
      </c>
      <c r="D9" s="7" t="s">
        <v>5</v>
      </c>
      <c r="E9" s="7" t="str">
        <f>IFERROR(VLOOKUP(InventoryList[[#This Row],[BIN '#]],#REF!,3,FALSE),"")</f>
        <v/>
      </c>
      <c r="F9" s="7" t="s">
        <v>17</v>
      </c>
      <c r="G9" s="8">
        <v>12</v>
      </c>
      <c r="H9" s="8">
        <v>10</v>
      </c>
      <c r="I9" s="10">
        <v>26</v>
      </c>
      <c r="J9" s="18">
        <f>InventoryList[[#This Row],[COST]]*InventoryList[[#This Row],[QTY]]</f>
        <v>312</v>
      </c>
      <c r="K9" s="11">
        <f>IFERROR(IF(InventoryList[[#This Row],[QTY]]&lt;=InventoryList[[#This Row],[REORDER QTY]],1,0),0)</f>
        <v>0</v>
      </c>
    </row>
    <row r="10" spans="2:11" ht="15" customHeight="1" x14ac:dyDescent="0.3">
      <c r="B10" s="6" t="s">
        <v>26</v>
      </c>
      <c r="C10" s="7" t="s">
        <v>12</v>
      </c>
      <c r="D10" s="7" t="s">
        <v>1</v>
      </c>
      <c r="E10" s="7" t="str">
        <f>IFERROR(VLOOKUP(InventoryList[[#This Row],[BIN '#]],#REF!,3,FALSE),"")</f>
        <v/>
      </c>
      <c r="F10" s="7" t="s">
        <v>17</v>
      </c>
      <c r="G10" s="8">
        <v>7</v>
      </c>
      <c r="H10" s="8">
        <v>10</v>
      </c>
      <c r="I10" s="10">
        <v>50</v>
      </c>
      <c r="J10" s="18">
        <f>InventoryList[[#This Row],[COST]]*InventoryList[[#This Row],[QTY]]</f>
        <v>350</v>
      </c>
      <c r="K10" s="11">
        <f>IFERROR(IF(InventoryList[[#This Row],[QTY]]&lt;=InventoryList[[#This Row],[REORDER QTY]],1,0),0)</f>
        <v>1</v>
      </c>
    </row>
    <row r="11" spans="2:11" ht="15" customHeight="1" x14ac:dyDescent="0.3">
      <c r="B11" s="6" t="s">
        <v>27</v>
      </c>
      <c r="C11" s="7" t="s">
        <v>13</v>
      </c>
      <c r="D11" s="7" t="s">
        <v>6</v>
      </c>
      <c r="E11" s="7" t="str">
        <f>IFERROR(VLOOKUP(InventoryList[[#This Row],[BIN '#]],#REF!,3,FALSE),"")</f>
        <v/>
      </c>
      <c r="F11" s="7" t="s">
        <v>17</v>
      </c>
      <c r="G11" s="8">
        <v>10</v>
      </c>
      <c r="H11" s="8">
        <v>5</v>
      </c>
      <c r="I11" s="10">
        <v>10</v>
      </c>
      <c r="J11" s="18">
        <f>InventoryList[[#This Row],[COST]]*InventoryList[[#This Row],[QTY]]</f>
        <v>100</v>
      </c>
      <c r="K11" s="11">
        <f>IFERROR(IF(InventoryList[[#This Row],[QTY]]&lt;=InventoryList[[#This Row],[REORDER QTY]],1,0),0)</f>
        <v>0</v>
      </c>
    </row>
    <row r="12" spans="2:11" ht="15" customHeight="1" x14ac:dyDescent="0.3">
      <c r="B12" s="6" t="s">
        <v>28</v>
      </c>
      <c r="C12" s="7" t="s">
        <v>14</v>
      </c>
      <c r="D12" s="7" t="s">
        <v>2</v>
      </c>
      <c r="E12" s="7" t="str">
        <f>IFERROR(VLOOKUP(InventoryList[[#This Row],[BIN '#]],#REF!,3,FALSE),"")</f>
        <v/>
      </c>
      <c r="F12" s="7" t="s">
        <v>17</v>
      </c>
      <c r="G12" s="8">
        <v>19</v>
      </c>
      <c r="H12" s="8">
        <v>10</v>
      </c>
      <c r="I12" s="10">
        <v>3</v>
      </c>
      <c r="J12" s="18">
        <f>InventoryList[[#This Row],[COST]]*InventoryList[[#This Row],[QTY]]</f>
        <v>57</v>
      </c>
      <c r="K12" s="11">
        <f>IFERROR(IF(InventoryList[[#This Row],[QTY]]&lt;=InventoryList[[#This Row],[REORDER QTY]],1,0),0)</f>
        <v>0</v>
      </c>
    </row>
    <row r="13" spans="2:11" ht="15" customHeight="1" x14ac:dyDescent="0.3">
      <c r="B13" s="12" t="s">
        <v>29</v>
      </c>
      <c r="C13" s="13" t="s">
        <v>15</v>
      </c>
      <c r="D13" s="13" t="s">
        <v>7</v>
      </c>
      <c r="E13" s="13" t="str">
        <f>IFERROR(VLOOKUP(InventoryList[[#This Row],[BIN '#]],#REF!,3,FALSE),"")</f>
        <v/>
      </c>
      <c r="F13" s="13" t="s">
        <v>20</v>
      </c>
      <c r="G13" s="14">
        <v>20</v>
      </c>
      <c r="H13" s="14">
        <v>30</v>
      </c>
      <c r="I13" s="15">
        <v>14</v>
      </c>
      <c r="J13" s="19">
        <f>InventoryList[[#This Row],[COST]]*InventoryList[[#This Row],[QTY]]</f>
        <v>280</v>
      </c>
      <c r="K13" s="16">
        <f>IFERROR(IF(InventoryList[[#This Row],[QTY]]&lt;=InventoryList[[#This Row],[REORDER QTY]],1,0),0)</f>
        <v>1</v>
      </c>
    </row>
  </sheetData>
  <conditionalFormatting sqref="B3:K13">
    <cfRule type="expression" dxfId="29" priority="18">
      <formula>$K3=1</formula>
    </cfRule>
    <cfRule type="expression" dxfId="28" priority="19">
      <formula>"If(blnBinNo=""True"")"</formula>
    </cfRule>
  </conditionalFormatting>
  <dataValidations count="11">
    <dataValidation allowBlank="1" showInputMessage="1" showErrorMessage="1" prompt="This worksheet shows items ready for reordering--automatically flagged in column K. There are 2 navigation links in cells E2 &amp; F2 for Inventory Pick List &amp; Bin Lookup worksheets" sqref="A1"/>
    <dataValidation allowBlank="1" showInputMessage="1" showErrorMessage="1" prompt="Enter SKU in this column" sqref="B2"/>
    <dataValidation allowBlank="1" showInputMessage="1" showErrorMessage="1" prompt="Enter a description of the item in this column" sqref="C2"/>
    <dataValidation allowBlank="1" showInputMessage="1" showErrorMessage="1" prompt="Select the bin number from the dropdown list. Press ALT+DOWN ARROW to open the dropdown list then press ENTER to choose one of the items" sqref="D2"/>
    <dataValidation allowBlank="1" showInputMessage="1" showErrorMessage="1" prompt="Location is automatically updated in this column using the Bin # and information in the Bin Lookup worksheet " sqref="E2"/>
    <dataValidation allowBlank="1" showInputMessage="1" showErrorMessage="1" prompt="Enter unit in this column" sqref="F2"/>
    <dataValidation allowBlank="1" showInputMessage="1" showErrorMessage="1" prompt="Enter the quantity of each item in this column" sqref="G2"/>
    <dataValidation allowBlank="1" showInputMessage="1" showErrorMessage="1" prompt="Enter reorder quantity in this column" sqref="H2"/>
    <dataValidation allowBlank="1" showInputMessage="1" showErrorMessage="1" prompt="Enter the cost of each item in this column" sqref="I2:J2"/>
    <dataValidation allowBlank="1" showInputMessage="1" showErrorMessage="1" prompt="A flag icon in this column indicates items in the inventory list that are ready to be reordered" sqref="K2"/>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3:D13">
      <formula1>BinNumber</formula1>
    </dataValidation>
  </dataValidations>
  <printOptions horizontalCentered="1"/>
  <pageMargins left="0.25" right="0.25" top="0.75" bottom="0.75" header="0.3" footer="0.3"/>
  <pageSetup scale="43"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K3:K13</xm:sqref>
        </x14:conditionalFormatting>
      </x14:conditionalFormattings>
    </ext>
    <ext xmlns:x14="http://schemas.microsoft.com/office/spreadsheetml/2009/9/main" uri="{05C60535-1F16-4fd2-B633-F4F36F0B64E0}">
      <x14:sparklineGroups xmlns:xm="http://schemas.microsoft.com/office/excel/2006/main">
        <x14:sparklineGroup displayEmptyCellsAs="gap">
          <x14:colorSeries rgb="FF323232"/>
          <x14:colorNegative rgb="FFD00000"/>
          <x14:colorAxis rgb="FF000000"/>
          <x14:colorMarkers rgb="FFD00000"/>
          <x14:colorFirst rgb="FFD00000"/>
          <x14:colorLast rgb="FFD00000"/>
          <x14:colorHigh rgb="FFD00000"/>
          <x14:colorLow rgb="FFD00000"/>
          <x14:sparklines>
            <x14:sparkline>
              <xm:f>'Inventory List'!J3:J3</xm:f>
              <xm:sqref>J3</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ickList">
    <tabColor theme="7" tint="0.39997558519241921"/>
    <pageSetUpPr autoPageBreaks="0" fitToPage="1"/>
  </sheetPr>
  <dimension ref="B1:I7"/>
  <sheetViews>
    <sheetView zoomScaleNormal="100" workbookViewId="0">
      <selection activeCell="B1" sqref="B1"/>
    </sheetView>
  </sheetViews>
  <sheetFormatPr defaultRowHeight="15" customHeight="1" x14ac:dyDescent="0.3"/>
  <cols>
    <col min="1" max="1" width="1.88671875" customWidth="1"/>
    <col min="2" max="2" width="20.77734375" customWidth="1"/>
    <col min="3" max="3" width="21.77734375" customWidth="1"/>
    <col min="4" max="4" width="15.6640625" customWidth="1"/>
    <col min="5" max="5" width="17.88671875" customWidth="1"/>
    <col min="6" max="6" width="25.44140625" customWidth="1"/>
    <col min="7" max="7" width="14.44140625" customWidth="1"/>
    <col min="8" max="8" width="13.44140625" customWidth="1"/>
    <col min="9" max="9" width="22.6640625" customWidth="1"/>
  </cols>
  <sheetData>
    <row r="1" spans="2:9" ht="48.75" customHeight="1" x14ac:dyDescent="0.45">
      <c r="B1" s="1" t="s">
        <v>42</v>
      </c>
      <c r="C1" s="21"/>
      <c r="D1" s="2"/>
      <c r="E1" s="2"/>
      <c r="F1" s="2"/>
      <c r="G1" s="2"/>
      <c r="H1" s="2"/>
      <c r="I1" s="2"/>
    </row>
    <row r="2" spans="2:9" ht="15" customHeight="1" x14ac:dyDescent="0.3">
      <c r="B2" s="3" t="s">
        <v>43</v>
      </c>
      <c r="C2" s="4" t="s">
        <v>0</v>
      </c>
      <c r="D2" s="4" t="s">
        <v>44</v>
      </c>
      <c r="E2" s="4" t="s">
        <v>45</v>
      </c>
      <c r="F2" s="4" t="s">
        <v>46</v>
      </c>
      <c r="G2" s="4" t="s">
        <v>34</v>
      </c>
      <c r="H2" s="4" t="s">
        <v>32</v>
      </c>
      <c r="I2" s="5" t="s">
        <v>33</v>
      </c>
    </row>
    <row r="3" spans="2:9" ht="15" customHeight="1" x14ac:dyDescent="0.3">
      <c r="B3" s="6" t="s">
        <v>30</v>
      </c>
      <c r="C3" s="7" t="s">
        <v>21</v>
      </c>
      <c r="D3" s="7">
        <v>3</v>
      </c>
      <c r="E3" s="7">
        <f>IFERROR(VLOOKUP(InventoryPickList[SKU],InventoryList[],6,FALSE),"")</f>
        <v>20</v>
      </c>
      <c r="F3" s="7" t="str">
        <f>IFERROR(VLOOKUP(InventoryPickList[SKU],InventoryList[],2,FALSE),"")</f>
        <v>Item 1</v>
      </c>
      <c r="G3" s="7" t="str">
        <f>IFERROR(VLOOKUP(InventoryPickList[SKU],InventoryList[],5,FALSE),"")</f>
        <v>Each</v>
      </c>
      <c r="H3" s="7" t="str">
        <f>IFERROR(VLOOKUP(InventoryPickList[SKU],InventoryList[],3,FALSE),"")</f>
        <v>T345</v>
      </c>
      <c r="I3" s="22" t="str">
        <f>IFERROR(VLOOKUP(InventoryPickList[SKU],InventoryList[],4,FALSE),"")</f>
        <v/>
      </c>
    </row>
    <row r="4" spans="2:9" ht="15" customHeight="1" x14ac:dyDescent="0.3">
      <c r="B4" s="6" t="s">
        <v>30</v>
      </c>
      <c r="C4" s="7" t="s">
        <v>24</v>
      </c>
      <c r="D4" s="7">
        <v>1</v>
      </c>
      <c r="E4" s="7">
        <f>IFERROR(VLOOKUP(InventoryPickList[SKU],InventoryList[],6,FALSE),"")</f>
        <v>40</v>
      </c>
      <c r="F4" s="7" t="str">
        <f>IFERROR(VLOOKUP(InventoryPickList[SKU],InventoryList[],2,FALSE),"")</f>
        <v>Item 4</v>
      </c>
      <c r="G4" s="7" t="str">
        <f>IFERROR(VLOOKUP(InventoryPickList[SKU],InventoryList[],5,FALSE),"")</f>
        <v>Box (10 ct)</v>
      </c>
      <c r="H4" s="7" t="str">
        <f>IFERROR(VLOOKUP(InventoryPickList[SKU],InventoryList[],3,FALSE),"")</f>
        <v>T9876</v>
      </c>
      <c r="I4" s="22" t="str">
        <f>IFERROR(VLOOKUP(InventoryPickList[SKU],InventoryList[],4,FALSE),"")</f>
        <v/>
      </c>
    </row>
    <row r="5" spans="2:9" ht="15" customHeight="1" x14ac:dyDescent="0.3">
      <c r="B5" s="6" t="s">
        <v>30</v>
      </c>
      <c r="C5" s="7" t="s">
        <v>27</v>
      </c>
      <c r="D5" s="7">
        <v>2</v>
      </c>
      <c r="E5" s="7">
        <f>IFERROR(VLOOKUP(InventoryPickList[SKU],InventoryList[],6,FALSE),"")</f>
        <v>10</v>
      </c>
      <c r="F5" s="7" t="str">
        <f>IFERROR(VLOOKUP(InventoryPickList[SKU],InventoryList[],2,FALSE),"")</f>
        <v>Item 7</v>
      </c>
      <c r="G5" s="7" t="str">
        <f>IFERROR(VLOOKUP(InventoryPickList[SKU],InventoryList[],5,FALSE),"")</f>
        <v>Each</v>
      </c>
      <c r="H5" s="7" t="str">
        <f>IFERROR(VLOOKUP(InventoryPickList[SKU],InventoryList[],3,FALSE),"")</f>
        <v>T349</v>
      </c>
      <c r="I5" s="22" t="str">
        <f>IFERROR(VLOOKUP(InventoryPickList[SKU],InventoryList[],4,FALSE),"")</f>
        <v/>
      </c>
    </row>
    <row r="6" spans="2:9" ht="15" customHeight="1" x14ac:dyDescent="0.3">
      <c r="B6" s="6" t="s">
        <v>30</v>
      </c>
      <c r="C6" s="7" t="s">
        <v>18</v>
      </c>
      <c r="D6" s="7">
        <v>6</v>
      </c>
      <c r="E6" s="7">
        <f>IFERROR(VLOOKUP(InventoryPickList[SKU],InventoryList[],6,FALSE),"")</f>
        <v>15</v>
      </c>
      <c r="F6" s="7" t="str">
        <f>IFERROR(VLOOKUP(InventoryPickList[SKU],InventoryList[],2,FALSE),"")</f>
        <v>Item 10</v>
      </c>
      <c r="G6" s="7" t="str">
        <f>IFERROR(VLOOKUP(InventoryPickList[SKU],InventoryList[],5,FALSE),"")</f>
        <v>Each</v>
      </c>
      <c r="H6" s="7" t="str">
        <f>IFERROR(VLOOKUP(InventoryPickList[SKU],InventoryList[],3,FALSE),"")</f>
        <v>T349</v>
      </c>
      <c r="I6" s="22" t="str">
        <f>IFERROR(VLOOKUP(InventoryPickList[SKU],InventoryList[],4,FALSE),"")</f>
        <v/>
      </c>
    </row>
    <row r="7" spans="2:9" ht="15" customHeight="1" x14ac:dyDescent="0.3">
      <c r="B7" s="12" t="s">
        <v>30</v>
      </c>
      <c r="C7" s="13" t="s">
        <v>23</v>
      </c>
      <c r="D7" s="13">
        <v>3</v>
      </c>
      <c r="E7" s="13">
        <f>IFERROR(VLOOKUP(InventoryPickList[SKU],InventoryList[],6,FALSE),"")</f>
        <v>10</v>
      </c>
      <c r="F7" s="13" t="str">
        <f>IFERROR(VLOOKUP(InventoryPickList[SKU],InventoryList[],2,FALSE),"")</f>
        <v>Item 3</v>
      </c>
      <c r="G7" s="13" t="str">
        <f>IFERROR(VLOOKUP(InventoryPickList[SKU],InventoryList[],5,FALSE),"")</f>
        <v>Each</v>
      </c>
      <c r="H7" s="13" t="str">
        <f>IFERROR(VLOOKUP(InventoryPickList[SKU],InventoryList[],3,FALSE),"")</f>
        <v>T5789</v>
      </c>
      <c r="I7" s="23" t="str">
        <f>IFERROR(VLOOKUP(InventoryPickList[SKU],InventoryList[],4,FALSE),"")</f>
        <v/>
      </c>
    </row>
  </sheetData>
  <conditionalFormatting sqref="B3:I7">
    <cfRule type="expression" dxfId="13" priority="1">
      <formula>$K3=1</formula>
    </cfRule>
    <cfRule type="expression" dxfId="12" priority="2">
      <formula>"If(blnBinNo=""True"")"</formula>
    </cfRule>
  </conditionalFormatting>
  <dataValidations xWindow="40" yWindow="335" count="12">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sqref="B2"/>
    <dataValidation allowBlank="1" showInputMessage="1" showErrorMessage="1" prompt="Select the SKU from the dropdown list. Press ALT+DOWN ARROW to open the dropdown list then press ENTER to choose one of the items" sqref="C2"/>
    <dataValidation allowBlank="1" showInputMessage="1" showErrorMessage="1" prompt="Enter pick quantity of items in this column" sqref="D2"/>
    <dataValidation allowBlank="1" showInputMessage="1" showErrorMessage="1" prompt="Quantity available for each item is automatically calculated in this column" sqref="E2"/>
    <dataValidation allowBlank="1" showInputMessage="1" showErrorMessage="1" prompt="Item description is automatically updated in this column" sqref="F2"/>
    <dataValidation allowBlank="1" showInputMessage="1" showErrorMessage="1" prompt="Unit is automatically updated in this column" sqref="G2"/>
    <dataValidation allowBlank="1" showInputMessage="1" showErrorMessage="1" prompt="Bin number is automatically updated in this column" sqref="H2"/>
    <dataValidation allowBlank="1" showInputMessage="1" showErrorMessage="1" prompt="Location is automatically updated in this column" sqref="I2"/>
    <dataValidation type="custom" allowBlank="1" showInputMessage="1" showErrorMessage="1" errorTitle="Whoops!" error="The quantity entered exceeds the Quantity Available. " sqref="D4:D7">
      <formula1>D4&lt;=E4</formula1>
    </dataValidation>
    <dataValidation type="custom" allowBlank="1" showInputMessage="1" showErrorMessage="1" error="The quantity entered exceeds the Quantity Available. Enter a PICK QTY less than the QTY AVAILABLE" sqref="D3">
      <formula1>D3&lt;=E3</formula1>
    </dataValidation>
    <dataValidation type="list" errorStyle="warning" allowBlank="1" showErrorMessage="1" error="Entry isn't from List. Select CANCEL, then press ALT+DOWN ARROW to open drop-down list and ENTER to make selection" sqref="C3:C7">
      <formula1>SKULookup</formula1>
    </dataValidation>
  </dataValidation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Inventory List</vt:lpstr>
      <vt:lpstr>Inventory Pick List</vt:lpstr>
      <vt:lpstr>ColumnTitle1</vt:lpstr>
      <vt:lpstr>ColumnTitle2</vt:lpstr>
      <vt:lpstr>'Inventory List'!Print_Titles</vt:lpstr>
      <vt:lpstr>'Inventory Pick List'!Print_Titles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DMurphy</dc:creator>
  <cp:lastModifiedBy>DMurphy</cp:lastModifiedBy>
  <cp:lastPrinted>2018-12-25T08:16:01Z</cp:lastPrinted>
  <dcterms:created xsi:type="dcterms:W3CDTF">2017-06-02T00:14:58Z</dcterms:created>
  <dcterms:modified xsi:type="dcterms:W3CDTF">2019-01-30T09:55:35Z</dcterms:modified>
</cp:coreProperties>
</file>