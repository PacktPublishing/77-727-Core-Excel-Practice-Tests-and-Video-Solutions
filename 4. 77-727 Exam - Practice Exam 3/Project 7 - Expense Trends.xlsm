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3\"/>
    </mc:Choice>
  </mc:AlternateContent>
  <bookViews>
    <workbookView xWindow="0" yWindow="0" windowWidth="20490" windowHeight="7425" tabRatio="784"/>
  </bookViews>
  <sheets>
    <sheet name="Summary" sheetId="2" r:id="rId1"/>
  </sheets>
  <externalReferences>
    <externalReference r:id="rId2"/>
    <externalReference r:id="rId3"/>
  </externalReferences>
  <definedNames>
    <definedName name="AgeRules">#REF!</definedName>
    <definedName name="BinNumber">#REF!</definedName>
    <definedName name="CategoryList">#REF!</definedName>
    <definedName name="ColumnTitle10">#REF!</definedName>
    <definedName name="ColumnTitle11">#REF!</definedName>
    <definedName name="ColumnTitle12">#REF!</definedName>
    <definedName name="ColumnTitle13">#REF!</definedName>
    <definedName name="ColumnTitle14">#REF!</definedName>
    <definedName name="ColumnTitle2">ExpenseSummary[[#Headers],[Expenses]]</definedName>
    <definedName name="ColumnTitle3">#REF!</definedName>
    <definedName name="ColumnTitle4">#REF!</definedName>
    <definedName name="ColumnTitle5">#REF!</definedName>
    <definedName name="ColumnTitle6">#REF!</definedName>
    <definedName name="ColumnTitle7">#REF!</definedName>
    <definedName name="ColumnTitle8">#REF!</definedName>
    <definedName name="ColumnTitle9">#REF!</definedName>
    <definedName name="EmployeeList">#REF!</definedName>
    <definedName name="ExpenseCategories">ExpenseSummary[Expenses]</definedName>
    <definedName name="FlagPercent">'[1]Project Tracker'!#REF!</definedName>
    <definedName name="_xlnm.Print_Titles" localSheetId="0">Summary!$3:$3</definedName>
    <definedName name="SKULookup">[2]!InventoryList[SKU]</definedName>
  </definedNames>
  <calcPr calcId="162913"/>
</workbook>
</file>

<file path=xl/calcChain.xml><?xml version="1.0" encoding="utf-8"?>
<calcChain xmlns="http://schemas.openxmlformats.org/spreadsheetml/2006/main">
  <c r="N9" i="2" l="1"/>
  <c r="M10" i="2" l="1"/>
  <c r="E10" i="2"/>
  <c r="C10" i="2"/>
  <c r="H10" i="2"/>
  <c r="D10" i="2"/>
  <c r="I10" i="2"/>
  <c r="L10" i="2"/>
  <c r="K10" i="2"/>
  <c r="J10" i="2"/>
  <c r="G10" i="2"/>
  <c r="F10" i="2"/>
  <c r="N5" i="2"/>
  <c r="N6" i="2"/>
  <c r="N7" i="2"/>
  <c r="B10" i="2"/>
  <c r="N8" i="2"/>
  <c r="N4" i="2"/>
  <c r="N10" i="2" l="1"/>
</calcChain>
</file>

<file path=xl/sharedStrings.xml><?xml version="1.0" encoding="utf-8"?>
<sst xmlns="http://schemas.openxmlformats.org/spreadsheetml/2006/main" count="35" uniqueCount="22">
  <si>
    <t>Expenses</t>
  </si>
  <si>
    <t>Expense 1</t>
  </si>
  <si>
    <t>Expense 2</t>
  </si>
  <si>
    <t>Expense 3</t>
  </si>
  <si>
    <t>Expense 4</t>
  </si>
  <si>
    <t>Expense 5</t>
  </si>
  <si>
    <t>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</si>
  <si>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</si>
  <si>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</si>
  <si>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</si>
  <si>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</si>
  <si>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</si>
  <si>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</si>
  <si>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</si>
  <si>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</si>
  <si>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</si>
  <si>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</si>
  <si>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</si>
  <si>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</si>
  <si>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Trend</t>
  </si>
  <si>
    <t>EXPENSE TRENDS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</si>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</sst>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.5"/>
      <color theme="1" tint="0.34998626667073579"/>
      <name val="Century Gothic"/>
      <family val="2"/>
      <scheme val="major"/>
    </font>
    <font>
      <sz val="11"/>
      <color theme="0"/>
      <name val="Century Gothic"/>
      <family val="2"/>
      <scheme val="major"/>
    </font>
    <font>
      <sz val="11"/>
      <color theme="10"/>
      <name val="Calibri"/>
      <family val="2"/>
      <scheme val="minor"/>
    </font>
    <font>
      <sz val="11"/>
      <color theme="11"/>
      <name val="Calibri"/>
      <family val="2"/>
      <scheme val="minor"/>
    </font>
    <font>
      <b/>
      <sz val="11"/>
      <color theme="3"/>
      <name val="Century Gothic"/>
      <family val="2"/>
      <scheme val="major"/>
    </font>
    <font>
      <b/>
      <sz val="11"/>
      <color theme="1"/>
      <name val="Century Gothic"/>
      <family val="2"/>
      <scheme val="major"/>
    </font>
    <font>
      <sz val="11"/>
      <color theme="1"/>
      <name val="Calibri"/>
      <family val="2"/>
      <scheme val="minor"/>
    </font>
    <font>
      <sz val="11"/>
      <color theme="3" tint="0.1499374370555742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.5"/>
      <color theme="1" tint="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7" fillId="0" borderId="0" applyNumberFormat="0" applyFill="0" applyProtection="0">
      <alignment horizontal="left" indent="1"/>
    </xf>
    <xf numFmtId="4" fontId="7" fillId="0" borderId="0" applyFill="0" applyProtection="0">
      <alignment horizontal="right" indent="1"/>
    </xf>
    <xf numFmtId="0" fontId="6" fillId="2" borderId="0" applyNumberFormat="0" applyBorder="0" applyProtection="0">
      <alignment vertical="center" wrapText="1"/>
    </xf>
    <xf numFmtId="0" fontId="4" fillId="3" borderId="0" applyNumberFormat="0" applyBorder="0" applyAlignment="0" applyProtection="0"/>
    <xf numFmtId="0" fontId="5" fillId="3" borderId="0" applyNumberFormat="0" applyBorder="0" applyAlignment="0" applyProtection="0"/>
    <xf numFmtId="0" fontId="8" fillId="0" borderId="0">
      <alignment horizontal="left" wrapText="1" indent="1"/>
    </xf>
    <xf numFmtId="4" fontId="8" fillId="0" borderId="0">
      <alignment horizontal="right" indent="1"/>
    </xf>
    <xf numFmtId="164" fontId="8" fillId="0" borderId="0">
      <alignment horizontal="left" indent="1"/>
    </xf>
    <xf numFmtId="0" fontId="1" fillId="0" borderId="0">
      <alignment horizontal="left" vertical="center" wrapText="1" indent="6"/>
    </xf>
    <xf numFmtId="0" fontId="8" fillId="0" borderId="0">
      <alignment horizontal="left" vertical="center" wrapText="1" indent="3"/>
    </xf>
    <xf numFmtId="0" fontId="9" fillId="0" borderId="0">
      <alignment vertical="center"/>
    </xf>
  </cellStyleXfs>
  <cellXfs count="14">
    <xf numFmtId="0" fontId="0" fillId="0" borderId="0" xfId="0"/>
    <xf numFmtId="0" fontId="2" fillId="0" borderId="0" xfId="1"/>
    <xf numFmtId="0" fontId="7" fillId="0" borderId="0" xfId="3" applyFill="1">
      <alignment horizontal="left" indent="1"/>
    </xf>
    <xf numFmtId="0" fontId="4" fillId="3" borderId="1" xfId="6" applyBorder="1" applyAlignment="1">
      <alignment horizontal="center" vertical="center"/>
    </xf>
    <xf numFmtId="0" fontId="7" fillId="0" borderId="2" xfId="3" applyFill="1" applyBorder="1">
      <alignment horizontal="left" indent="1"/>
    </xf>
    <xf numFmtId="0" fontId="8" fillId="0" borderId="2" xfId="8" applyBorder="1">
      <alignment horizontal="left" wrapText="1" indent="1"/>
    </xf>
    <xf numFmtId="4" fontId="8" fillId="0" borderId="2" xfId="9" applyBorder="1">
      <alignment horizontal="right" indent="1"/>
    </xf>
    <xf numFmtId="0" fontId="8" fillId="0" borderId="2" xfId="8" applyFill="1" applyBorder="1">
      <alignment horizontal="left" wrapText="1" indent="1"/>
    </xf>
    <xf numFmtId="4" fontId="8" fillId="0" borderId="2" xfId="9" applyFill="1" applyBorder="1">
      <alignment horizontal="right" indent="1"/>
    </xf>
    <xf numFmtId="0" fontId="0" fillId="0" borderId="2" xfId="0" applyBorder="1"/>
    <xf numFmtId="0" fontId="11" fillId="0" borderId="0" xfId="1" applyFont="1"/>
    <xf numFmtId="0" fontId="0" fillId="0" borderId="2" xfId="0" applyFont="1" applyBorder="1"/>
    <xf numFmtId="0" fontId="10" fillId="0" borderId="2" xfId="0" applyFont="1" applyFill="1" applyBorder="1" applyAlignment="1">
      <alignment horizontal="left" indent="1"/>
    </xf>
    <xf numFmtId="4" fontId="10" fillId="0" borderId="2" xfId="0" applyNumberFormat="1" applyFont="1" applyFill="1" applyBorder="1" applyAlignment="1">
      <alignment horizontal="right" indent="1"/>
    </xf>
  </cellXfs>
  <cellStyles count="14">
    <cellStyle name="Followed Hyperlink" xfId="7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6" builtinId="8" customBuiltin="1"/>
    <cellStyle name="Normal" xfId="0" builtinId="0" customBuiltin="1"/>
    <cellStyle name="Normal 2" xfId="13"/>
    <cellStyle name="Table date" xfId="10"/>
    <cellStyle name="Table details" xfId="8"/>
    <cellStyle name="Table numbers" xfId="9"/>
    <cellStyle name="Tip text" xfId="12"/>
    <cellStyle name="Tip text indented" xfId="11"/>
    <cellStyle name="Title" xfId="1" builtinId="15" customBuiltin="1"/>
  </cellStyles>
  <dxfs count="2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thin">
          <color theme="0" tint="-0.14996795556505021"/>
        </top>
        <bottom style="thin">
          <color theme="1" tint="0.499984740745262"/>
        </bottom>
        <vertical style="thin">
          <color theme="0" tint="-0.14996795556505021"/>
        </vertical>
        <horizontal/>
      </border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thin">
          <color theme="1" tint="0.499984740745262"/>
        </top>
        <bottom style="thin">
          <color theme="0" tint="-0.14996795556505021"/>
        </bottom>
        <vertical/>
        <horizontal/>
      </border>
    </dxf>
    <dxf>
      <font>
        <b val="0"/>
        <i val="0"/>
        <color theme="1"/>
      </font>
      <fill>
        <patternFill patternType="none">
          <bgColor auto="1"/>
        </patternFill>
      </fill>
      <border diagonalUp="1" diagonalDown="0">
        <left/>
        <right/>
        <top/>
        <bottom/>
        <diagonal style="thin">
          <color theme="0" tint="-0.14993743705557422"/>
        </diagonal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/>
        <right/>
        <top/>
        <bottom/>
        <vertical/>
        <horizontal/>
      </border>
    </dxf>
  </dxfs>
  <tableStyles count="2" defaultTableStyle="Summary Table" defaultPivotStyle="PivotStyleLight16">
    <tableStyle name="styleCustomSlicer" pivot="0" table="0" count="10">
      <tableStyleElement type="wholeTable" dxfId="23"/>
      <tableStyleElement type="headerRow" dxfId="22"/>
    </tableStyle>
    <tableStyle name="Summary Table" pivot="0" count="6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ColumnStripe" dxfId="1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Custom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11</xdr:row>
      <xdr:rowOff>38100</xdr:rowOff>
    </xdr:from>
    <xdr:to>
      <xdr:col>1</xdr:col>
      <xdr:colOff>358640</xdr:colOff>
      <xdr:row>13</xdr:row>
      <xdr:rowOff>175305</xdr:rowOff>
    </xdr:to>
    <xdr:pic macro="[0]!All_Question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2764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14</xdr:row>
      <xdr:rowOff>161925</xdr:rowOff>
    </xdr:from>
    <xdr:to>
      <xdr:col>15</xdr:col>
      <xdr:colOff>95250</xdr:colOff>
      <xdr:row>20</xdr:row>
      <xdr:rowOff>142875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2971800"/>
          <a:ext cx="12811125" cy="1123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Murphy\Dropbox\DM%20Video%20Productions\MOS%20Certification\MOS%2077-727%20Practice%20Exams\In%20Prep%20Exam%20Files\Exam%203\Project%206\Project%20track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Murphy\Dropbox\DM%20Video%20Productions\MOS%20Certification\MOS%2077-727%20Practice%20Exams\In%20Prep%20Exam%20Files\Exam%203\Project%204\Warehouse%20invent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Tracker"/>
      <sheetName val="Work Tracker"/>
      <sheetName val="Working sheet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 List"/>
      <sheetName val="Inventory Pick List"/>
      <sheetName val="Working sheet"/>
      <sheetName val="Warehouse inventory"/>
    </sheetNames>
    <sheetDataSet>
      <sheetData sheetId="0"/>
      <sheetData sheetId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id="14" name="ExpenseSummary" displayName="ExpenseSummary" ref="A3:O10" totalsRowCount="1" totalsRowDxfId="15" headerRowCellStyle="Heading 2">
  <autoFilter ref="A3:O9"/>
  <tableColumns count="15">
    <tableColumn id="1" name="Expenses" totalsRowLabel="Total" totalsRowDxfId="14" dataCellStyle="Table details"/>
    <tableColumn id="2" name="Jan" totalsRowFunction="sum" totalsRowDxfId="13" dataCellStyle="Table numbers">
      <calculatedColumnFormula>SUMIFS(#REF!,#REF!,ExpenseSummary[[#This Row],[Expenses]])</calculatedColumnFormula>
    </tableColumn>
    <tableColumn id="3" name="Feb" totalsRowFunction="sum" totalsRowDxfId="12" dataCellStyle="Table numbers">
      <calculatedColumnFormula>SUMIFS(#REF!,#REF!,ExpenseSummary[[#This Row],[Expenses]])</calculatedColumnFormula>
    </tableColumn>
    <tableColumn id="4" name="Mar" totalsRowFunction="sum" totalsRowDxfId="11" dataCellStyle="Table numbers">
      <calculatedColumnFormula>SUMIFS(#REF!,#REF!,ExpenseSummary[[#This Row],[Expenses]])</calculatedColumnFormula>
    </tableColumn>
    <tableColumn id="5" name="Apr" totalsRowFunction="sum" totalsRowDxfId="10" dataCellStyle="Table numbers">
      <calculatedColumnFormula>SUMIFS(#REF!,#REF!,ExpenseSummary[[#This Row],[Expenses]])</calculatedColumnFormula>
    </tableColumn>
    <tableColumn id="6" name="May" totalsRowFunction="sum" totalsRowDxfId="9" dataCellStyle="Table numbers">
      <calculatedColumnFormula>SUMIFS(#REF!,#REF!,ExpenseSummary[[#This Row],[Expenses]])</calculatedColumnFormula>
    </tableColumn>
    <tableColumn id="7" name="Jun" totalsRowFunction="sum" totalsRowDxfId="8" dataCellStyle="Table numbers">
      <calculatedColumnFormula>SUMIFS(#REF!,#REF!,ExpenseSummary[[#This Row],[Expenses]])</calculatedColumnFormula>
    </tableColumn>
    <tableColumn id="8" name="Jul" totalsRowFunction="sum" totalsRowDxfId="7" dataCellStyle="Table numbers">
      <calculatedColumnFormula>SUMIFS(#REF!,#REF!,ExpenseSummary[[#This Row],[Expenses]])</calculatedColumnFormula>
    </tableColumn>
    <tableColumn id="9" name="Aug" totalsRowFunction="sum" totalsRowDxfId="6" dataCellStyle="Table numbers">
      <calculatedColumnFormula>SUMIFS(#REF!,#REF!,ExpenseSummary[[#This Row],[Expenses]])</calculatedColumnFormula>
    </tableColumn>
    <tableColumn id="10" name="Sep" totalsRowFunction="sum" totalsRowDxfId="5" dataCellStyle="Table numbers">
      <calculatedColumnFormula>SUMIFS(#REF!,#REF!,ExpenseSummary[[#This Row],[Expenses]])</calculatedColumnFormula>
    </tableColumn>
    <tableColumn id="11" name="Oct" totalsRowFunction="sum" totalsRowDxfId="4" dataCellStyle="Table numbers">
      <calculatedColumnFormula>SUMIFS(#REF!,#REF!,ExpenseSummary[[#This Row],[Expenses]])</calculatedColumnFormula>
    </tableColumn>
    <tableColumn id="12" name="Nov" totalsRowFunction="sum" totalsRowDxfId="3" dataCellStyle="Table numbers">
      <calculatedColumnFormula>SUMIFS(#REF!,#REF!,ExpenseSummary[[#This Row],[Expenses]])</calculatedColumnFormula>
    </tableColumn>
    <tableColumn id="13" name="Dec" totalsRowFunction="sum" totalsRowDxfId="2" dataCellStyle="Table numbers">
      <calculatedColumnFormula>SUMIFS(#REF!,#REF!,ExpenseSummary[[#This Row],[Expenses]])</calculatedColumnFormula>
    </tableColumn>
    <tableColumn id="14" name="Total" totalsRowFunction="sum" totalsRowDxfId="1" dataCellStyle="Table numbers">
      <calculatedColumnFormula>SUM(ExpenseSummary[[#This Row],[Jan]:[Dec]])</calculatedColumnFormula>
    </tableColumn>
    <tableColumn id="15" name="Trend" totalsRowDxfId="0" dataCellStyle="Normal"/>
  </tableColumns>
  <tableStyleInfo name="Summary Table" showFirstColumn="0" showLastColumn="1" showRowStripes="0" showColumnStripes="1"/>
  <extLst>
    <ext xmlns:x14="http://schemas.microsoft.com/office/spreadsheetml/2009/9/main" uri="{504A1905-F514-4f6f-8877-14C23A59335A}">
      <x14:table altTextSummary="Table shows monthly expenses summed by category for each month of a year, beginning in January.  The table is formatted to line up vertically with a chart located directly above so that each month of the table lines up with each month grouping on the chart"/>
    </ext>
  </extLst>
</table>
</file>

<file path=xl/theme/theme1.xml><?xml version="1.0" encoding="utf-8"?>
<a:theme xmlns:a="http://schemas.openxmlformats.org/drawingml/2006/main" name="Office Theme">
  <a:themeElements>
    <a:clrScheme name="Expense Trends Budget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97B9C7"/>
      </a:accent1>
      <a:accent2>
        <a:srgbClr val="FFCC4F"/>
      </a:accent2>
      <a:accent3>
        <a:srgbClr val="9AB294"/>
      </a:accent3>
      <a:accent4>
        <a:srgbClr val="F15926"/>
      </a:accent4>
      <a:accent5>
        <a:srgbClr val="906083"/>
      </a:accent5>
      <a:accent6>
        <a:srgbClr val="E89C2B"/>
      </a:accent6>
      <a:hlink>
        <a:srgbClr val="FFFFFF"/>
      </a:hlink>
      <a:folHlink>
        <a:srgbClr val="FFFFFF"/>
      </a:folHlink>
    </a:clrScheme>
    <a:fontScheme name="Expense Trends Budget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  <pageSetUpPr autoPageBreaks="0" fitToPage="1"/>
  </sheetPr>
  <dimension ref="A1:O10"/>
  <sheetViews>
    <sheetView tabSelected="1" zoomScaleNormal="100" workbookViewId="0">
      <selection activeCell="E30" sqref="E30"/>
    </sheetView>
  </sheetViews>
  <sheetFormatPr defaultRowHeight="15" customHeight="1" x14ac:dyDescent="0.25"/>
  <cols>
    <col min="1" max="1" width="15.85546875" customWidth="1"/>
    <col min="2" max="14" width="12.5703125" customWidth="1"/>
    <col min="15" max="15" width="12.7109375" customWidth="1"/>
    <col min="16" max="16" width="9.140625" customWidth="1"/>
    <col min="17" max="17" width="7.28515625" customWidth="1"/>
  </cols>
  <sheetData>
    <row r="1" spans="1:15" ht="26.25" customHeight="1" x14ac:dyDescent="0.45">
      <c r="A1" s="10" t="s">
        <v>20</v>
      </c>
      <c r="B1" s="1"/>
      <c r="C1" s="1"/>
    </row>
    <row r="2" spans="1:15" ht="15" customHeight="1" x14ac:dyDescent="0.25">
      <c r="B2" s="3" t="s">
        <v>7</v>
      </c>
      <c r="C2" s="3" t="s">
        <v>8</v>
      </c>
      <c r="D2" s="3" t="s">
        <v>9</v>
      </c>
      <c r="E2" s="3" t="s">
        <v>10</v>
      </c>
      <c r="F2" s="3" t="s">
        <v>11</v>
      </c>
      <c r="G2" s="3" t="s">
        <v>12</v>
      </c>
      <c r="H2" s="3" t="s">
        <v>13</v>
      </c>
      <c r="I2" s="3" t="s">
        <v>14</v>
      </c>
      <c r="J2" s="3" t="s">
        <v>15</v>
      </c>
      <c r="K2" s="3" t="s">
        <v>16</v>
      </c>
      <c r="L2" s="3" t="s">
        <v>17</v>
      </c>
      <c r="M2" s="3" t="s">
        <v>18</v>
      </c>
      <c r="N2" t="s">
        <v>21</v>
      </c>
    </row>
    <row r="3" spans="1:15" ht="15" customHeight="1" x14ac:dyDescent="0.25">
      <c r="A3" s="4" t="s">
        <v>0</v>
      </c>
      <c r="B3" s="4" t="s">
        <v>7</v>
      </c>
      <c r="C3" s="4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4" t="s">
        <v>14</v>
      </c>
      <c r="J3" s="4" t="s">
        <v>15</v>
      </c>
      <c r="K3" s="4" t="s">
        <v>16</v>
      </c>
      <c r="L3" s="4" t="s">
        <v>17</v>
      </c>
      <c r="M3" s="4" t="s">
        <v>18</v>
      </c>
      <c r="N3" s="4" t="s">
        <v>6</v>
      </c>
      <c r="O3" s="2" t="s">
        <v>19</v>
      </c>
    </row>
    <row r="4" spans="1:15" ht="15" customHeight="1" x14ac:dyDescent="0.25">
      <c r="A4" s="5" t="s">
        <v>1</v>
      </c>
      <c r="B4" s="6">
        <v>33</v>
      </c>
      <c r="C4" s="6">
        <v>375</v>
      </c>
      <c r="D4" s="6">
        <v>33</v>
      </c>
      <c r="E4" s="6">
        <v>45</v>
      </c>
      <c r="F4" s="6">
        <v>375</v>
      </c>
      <c r="G4" s="6">
        <v>201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201</v>
      </c>
      <c r="N4" s="6">
        <f>SUM(ExpenseSummary[[#This Row],[Jan]:[Dec]])</f>
        <v>1263</v>
      </c>
      <c r="O4" s="9"/>
    </row>
    <row r="5" spans="1:15" ht="15" customHeight="1" x14ac:dyDescent="0.25">
      <c r="A5" s="5" t="s">
        <v>2</v>
      </c>
      <c r="B5" s="6">
        <v>238</v>
      </c>
      <c r="C5" s="6">
        <v>238</v>
      </c>
      <c r="D5" s="6">
        <v>238</v>
      </c>
      <c r="E5" s="6">
        <v>123</v>
      </c>
      <c r="F5" s="6">
        <v>111</v>
      </c>
      <c r="G5" s="6">
        <v>98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440</v>
      </c>
      <c r="N5" s="6">
        <f>SUM(ExpenseSummary[[#This Row],[Jan]:[Dec]])</f>
        <v>1486</v>
      </c>
      <c r="O5" s="9"/>
    </row>
    <row r="6" spans="1:15" ht="15" customHeight="1" x14ac:dyDescent="0.25">
      <c r="A6" s="5" t="s">
        <v>3</v>
      </c>
      <c r="B6" s="6">
        <v>110</v>
      </c>
      <c r="C6" s="6">
        <v>110</v>
      </c>
      <c r="D6" s="6">
        <v>110</v>
      </c>
      <c r="E6" s="6">
        <v>125</v>
      </c>
      <c r="F6" s="6">
        <v>333</v>
      </c>
      <c r="G6" s="6">
        <v>122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122</v>
      </c>
      <c r="N6" s="6">
        <f>SUM(ExpenseSummary[[#This Row],[Jan]:[Dec]])</f>
        <v>1032</v>
      </c>
      <c r="O6" s="9"/>
    </row>
    <row r="7" spans="1:15" ht="15" customHeight="1" x14ac:dyDescent="0.25">
      <c r="A7" s="5" t="s">
        <v>4</v>
      </c>
      <c r="B7" s="6">
        <v>426</v>
      </c>
      <c r="C7" s="6">
        <v>84</v>
      </c>
      <c r="D7" s="6">
        <v>84</v>
      </c>
      <c r="E7" s="6">
        <v>426</v>
      </c>
      <c r="F7" s="6">
        <v>125</v>
      </c>
      <c r="G7" s="6">
        <v>187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187</v>
      </c>
      <c r="N7" s="6">
        <f>SUM(ExpenseSummary[[#This Row],[Jan]:[Dec]])</f>
        <v>1519</v>
      </c>
      <c r="O7" s="9"/>
    </row>
    <row r="8" spans="1:15" ht="15" customHeight="1" x14ac:dyDescent="0.25">
      <c r="A8" s="5" t="s">
        <v>5</v>
      </c>
      <c r="B8" s="6">
        <v>54</v>
      </c>
      <c r="C8" s="6">
        <v>54</v>
      </c>
      <c r="D8" s="6">
        <v>109</v>
      </c>
      <c r="E8" s="6">
        <v>98</v>
      </c>
      <c r="F8" s="6">
        <v>33</v>
      </c>
      <c r="G8" s="6">
        <v>441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99</v>
      </c>
      <c r="N8" s="6">
        <f>SUM(ExpenseSummary[[#This Row],[Jan]:[Dec]])</f>
        <v>888</v>
      </c>
      <c r="O8" s="9"/>
    </row>
    <row r="9" spans="1:15" ht="15" customHeight="1" x14ac:dyDescent="0.25">
      <c r="A9" s="7"/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f>SUM(ExpenseSummary[[#This Row],[Jan]:[Dec]])</f>
        <v>0</v>
      </c>
      <c r="O9" s="9"/>
    </row>
    <row r="10" spans="1:15" ht="15" customHeight="1" x14ac:dyDescent="0.25">
      <c r="A10" s="12" t="s">
        <v>6</v>
      </c>
      <c r="B10" s="13">
        <f>SUBTOTAL(109,ExpenseSummary[Jan])</f>
        <v>861</v>
      </c>
      <c r="C10" s="13">
        <f>SUBTOTAL(109,ExpenseSummary[Feb])</f>
        <v>861</v>
      </c>
      <c r="D10" s="13">
        <f>SUBTOTAL(109,ExpenseSummary[Mar])</f>
        <v>574</v>
      </c>
      <c r="E10" s="13">
        <f>SUBTOTAL(109,ExpenseSummary[Apr])</f>
        <v>817</v>
      </c>
      <c r="F10" s="13">
        <f>SUBTOTAL(109,ExpenseSummary[May])</f>
        <v>977</v>
      </c>
      <c r="G10" s="13">
        <f>SUBTOTAL(109,ExpenseSummary[Jun])</f>
        <v>1049</v>
      </c>
      <c r="H10" s="13">
        <f>SUBTOTAL(109,ExpenseSummary[Jul])</f>
        <v>0</v>
      </c>
      <c r="I10" s="13">
        <f>SUBTOTAL(109,ExpenseSummary[Aug])</f>
        <v>0</v>
      </c>
      <c r="J10" s="13">
        <f>SUBTOTAL(109,ExpenseSummary[Sep])</f>
        <v>0</v>
      </c>
      <c r="K10" s="13">
        <f>SUBTOTAL(109,ExpenseSummary[Oct])</f>
        <v>0</v>
      </c>
      <c r="L10" s="13">
        <f>SUBTOTAL(109,ExpenseSummary[Nov])</f>
        <v>0</v>
      </c>
      <c r="M10" s="13">
        <f>SUBTOTAL(109,ExpenseSummary[Dec])</f>
        <v>1049</v>
      </c>
      <c r="N10" s="13">
        <f>SUBTOTAL(109,ExpenseSummary[Total])</f>
        <v>6188</v>
      </c>
      <c r="O10" s="11"/>
    </row>
  </sheetData>
  <dataConsolidate/>
  <dataValidations count="8">
    <dataValidation allowBlank="1" showInputMessage="1" showErrorMessage="1" prompt="An expense trends workbook that tracks specific expenses over a 12 month period. This workbook contains a tips worksheet, this summary worksheet and a worksheet for each month" sqref="A1"/>
    <dataValidation allowBlank="1" showInputMessage="1" showErrorMessage="1" prompt="Enter an expense name in this column" sqref="A3"/>
    <dataValidation allowBlank="1" showInputMessage="1" showErrorMessage="1" prompt="Expense total over the 12 months is automatically displayed in this column" sqref="N3"/>
    <dataValidation allowBlank="1" showInputMessage="1" showErrorMessage="1" prompt="A sparkline visualizing the trend of expenses for 1 expense over 12 months is displayed in this column" sqref="O3"/>
    <dataValidation allowBlank="1" showInputMessage="1" showErrorMessage="1" prompt="Cells B2 to M2 contain navigation links to a detailed outline of expenses for each month in a calendar year, starting with January and ending with December.  Cell N2 contains a navigation link to the tips worksheet" sqref="A2"/>
    <dataValidation allowBlank="1" showInputMessage="1" showErrorMessage="1" prompt="Navigation hyperlink to the expense details for this month" sqref="B2:M2"/>
    <dataValidation allowBlank="1" showInputMessage="1" showErrorMessage="1" prompt="Navigation hyperlink to the tips worksheet, which explains how to use this workbook" sqref="N2"/>
    <dataValidation allowBlank="1" showInputMessage="1" showErrorMessage="1" prompt="Expense amount is automatically displayed in this column" sqref="B3:M3"/>
  </dataValidations>
  <hyperlinks>
    <hyperlink ref="B2" location="jan!A1" tooltip="Select to navigate to Jan" display="Jan"/>
    <hyperlink ref="C2" location="feb!A1" tooltip="Select to navigate to Feb" display="Feb"/>
    <hyperlink ref="D2" location="mar!A1" tooltip="Select to navigate to Mar" display="Mar"/>
    <hyperlink ref="E2" location="apr!A1" tooltip="Select to navigate to Apr" display="Apr"/>
    <hyperlink ref="F2" location="may!A1" tooltip="Select to navigate to May" display="May"/>
    <hyperlink ref="G2" location="jun!A1" tooltip="Select to navigate to Jun" display="Jun"/>
    <hyperlink ref="H2" location="jul!A1" tooltip="Select to navigate to Jul" display="Jul"/>
    <hyperlink ref="I2" location="aug!A1" tooltip="Select to navigate to Aug" display="Aug"/>
    <hyperlink ref="J2" location="sep!A1" tooltip="Select to navigate to Sep" display="Sep"/>
    <hyperlink ref="K2" location="oct!A1" tooltip="Select to navigate to Oct" display="Oct"/>
    <hyperlink ref="L2" location="nov!A1" tooltip="Select to navigate to Nov" display="Nov"/>
    <hyperlink ref="M2" location="dec!A1" tooltip="Select to navigate to Dec" display="Dec"/>
    <hyperlink ref="N2" location="tips!A1" tooltip="Select to navigate to tips" display="Tips"/>
  </hyperlinks>
  <printOptions horizontalCentered="1"/>
  <pageMargins left="0.25" right="0.25" top="0.75" bottom="0.75" header="0.3" footer="0.3"/>
  <pageSetup orientation="landscape" r:id="rId1"/>
  <headerFooter differentFirst="1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Summary</vt:lpstr>
      <vt:lpstr>ColumnTitle2</vt:lpstr>
      <vt:lpstr>ExpenseCategories</vt:lpstr>
      <vt:lpstr>Summary!Print_Titles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DMurphy</dc:creator>
  <cp:lastModifiedBy>DMurphy</cp:lastModifiedBy>
  <dcterms:created xsi:type="dcterms:W3CDTF">2016-09-19T01:00:44Z</dcterms:created>
  <dcterms:modified xsi:type="dcterms:W3CDTF">2019-01-30T09:56:40Z</dcterms:modified>
</cp:coreProperties>
</file>