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Murphy\Dropbox\Packt Publishing\77-727 Core Excel Practice Tests and Video Solutions\77-727 Exam - Practice Exam 3\"/>
    </mc:Choice>
  </mc:AlternateContent>
  <bookViews>
    <workbookView xWindow="0" yWindow="0" windowWidth="28800" windowHeight="11760"/>
  </bookViews>
  <sheets>
    <sheet name="Project Tracker" sheetId="1" r:id="rId1"/>
  </sheets>
  <externalReferences>
    <externalReference r:id="rId2"/>
  </externalReferences>
  <definedNames>
    <definedName name="AgeRules">#REF!</definedName>
    <definedName name="BinNumber">#REF!</definedName>
    <definedName name="CategoryList">#REF!</definedName>
    <definedName name="ColumnTitle1">'Project Tracker'!$B$2</definedName>
    <definedName name="ColumnTitle2">#REF!</definedName>
    <definedName name="ColumnTitle3">#REF!</definedName>
    <definedName name="EmployeeList">#REF!</definedName>
    <definedName name="FlagPercent">'Project Tracker'!#REF!</definedName>
    <definedName name="_xlnm.Print_Titles" localSheetId="0">'Project Tracker'!$2:$2</definedName>
    <definedName name="SKULookup">[1]!InventoryList[SKU]</definedName>
  </definedNames>
  <calcPr calcId="162913"/>
</workbook>
</file>

<file path=xl/calcChain.xml><?xml version="1.0" encoding="utf-8"?>
<calcChain xmlns="http://schemas.openxmlformats.org/spreadsheetml/2006/main">
  <c r="K3" i="1" l="1"/>
  <c r="K4" i="1"/>
  <c r="K5" i="1"/>
  <c r="K6" i="1"/>
  <c r="K7" i="1"/>
  <c r="K8" i="1"/>
  <c r="K9" i="1"/>
  <c r="K10" i="1"/>
  <c r="K11" i="1"/>
  <c r="H11" i="1"/>
  <c r="N11" i="1"/>
  <c r="M11" i="1" l="1"/>
  <c r="J10" i="1"/>
  <c r="J9" i="1"/>
  <c r="J8" i="1"/>
  <c r="J7" i="1"/>
  <c r="J6" i="1"/>
  <c r="J5" i="1"/>
  <c r="J4" i="1"/>
  <c r="J3" i="1"/>
  <c r="I10" i="1"/>
  <c r="I9" i="1"/>
  <c r="I8" i="1"/>
  <c r="I7" i="1"/>
  <c r="I6" i="1"/>
  <c r="I5" i="1"/>
  <c r="I4" i="1"/>
  <c r="I3" i="1"/>
  <c r="N7" i="1" l="1"/>
  <c r="N4" i="1"/>
  <c r="N8" i="1"/>
  <c r="N5" i="1"/>
  <c r="N9" i="1"/>
  <c r="N6" i="1"/>
  <c r="N10" i="1"/>
  <c r="F4" i="1"/>
  <c r="E4" i="1"/>
  <c r="F3" i="1"/>
  <c r="E3" i="1"/>
  <c r="E7" i="1"/>
  <c r="F10" i="1" l="1"/>
  <c r="E10" i="1"/>
  <c r="F9" i="1"/>
  <c r="E9" i="1"/>
  <c r="F8" i="1"/>
  <c r="E8" i="1"/>
  <c r="F7" i="1"/>
  <c r="F6" i="1"/>
  <c r="E6" i="1"/>
  <c r="E5" i="1"/>
  <c r="F5" i="1"/>
  <c r="H10" i="1" l="1"/>
  <c r="M10" i="1" s="1"/>
  <c r="H9" i="1"/>
  <c r="M9" i="1" s="1"/>
  <c r="H8" i="1"/>
  <c r="M8" i="1" s="1"/>
  <c r="H7" i="1"/>
  <c r="M7" i="1" s="1"/>
  <c r="H6" i="1"/>
  <c r="M6" i="1" s="1"/>
  <c r="H5" i="1"/>
  <c r="M5" i="1" s="1"/>
  <c r="H4" i="1"/>
  <c r="M4" i="1" s="1"/>
  <c r="H3" i="1"/>
  <c r="N3" i="1" l="1"/>
  <c r="M3" i="1" s="1"/>
</calcChain>
</file>

<file path=xl/sharedStrings.xml><?xml version="1.0" encoding="utf-8"?>
<sst xmlns="http://schemas.openxmlformats.org/spreadsheetml/2006/main" count="41" uniqueCount="32">
  <si>
    <t>Project</t>
  </si>
  <si>
    <t>Category</t>
  </si>
  <si>
    <t>Assigned To</t>
  </si>
  <si>
    <t>Employee 1</t>
  </si>
  <si>
    <t>Employee 2</t>
  </si>
  <si>
    <t>Employee 3</t>
  </si>
  <si>
    <t>Employee 4</t>
  </si>
  <si>
    <t>Project Tracker</t>
  </si>
  <si>
    <t>Category 1</t>
  </si>
  <si>
    <t>Category 2</t>
  </si>
  <si>
    <t>Category 3</t>
  </si>
  <si>
    <t>Category 4</t>
  </si>
  <si>
    <t>Category 5</t>
  </si>
  <si>
    <t>Project 1</t>
  </si>
  <si>
    <t>Project 2</t>
  </si>
  <si>
    <t>Project 3</t>
  </si>
  <si>
    <t>Project 4</t>
  </si>
  <si>
    <t>Project 5</t>
  </si>
  <si>
    <t>Project 6</t>
  </si>
  <si>
    <t>Project 7</t>
  </si>
  <si>
    <t>Project 8</t>
  </si>
  <si>
    <t>Estimated
Start</t>
  </si>
  <si>
    <t>Actual
Finish</t>
  </si>
  <si>
    <t>Estimated 
Finish</t>
  </si>
  <si>
    <t>Estimated Work (in hours)</t>
  </si>
  <si>
    <t>Actual Work (in hours)</t>
  </si>
  <si>
    <t>Actual Duration (in days)</t>
  </si>
  <si>
    <t>Estimated Duration (in days)</t>
  </si>
  <si>
    <t>Flag icon for Over/Under Actual Work (in hours)</t>
  </si>
  <si>
    <t>Flag icon for Over/Under Actual Duration (in days)</t>
  </si>
  <si>
    <t>Actual 
Start</t>
  </si>
  <si>
    <t>project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</si>
</sst>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Over/Under flag&quot;;&quot;&quot;;&quot;&quot;"/>
  </numFmts>
  <fonts count="12" x14ac:knownFonts="1">
    <font>
      <sz val="11"/>
      <color theme="3" tint="-0.499984740745262"/>
      <name val="Century Gothic"/>
      <family val="2"/>
      <scheme val="minor"/>
    </font>
    <font>
      <b/>
      <sz val="11"/>
      <color rgb="FF3F3F3F"/>
      <name val="Century Gothic"/>
      <family val="2"/>
      <scheme val="minor"/>
    </font>
    <font>
      <sz val="8"/>
      <color theme="3"/>
      <name val="Century Gothic"/>
      <family val="2"/>
      <scheme val="minor"/>
    </font>
    <font>
      <sz val="24"/>
      <color theme="3"/>
      <name val="Century Gothic"/>
      <family val="2"/>
      <scheme val="minor"/>
    </font>
    <font>
      <sz val="24"/>
      <color theme="3"/>
      <name val="Century Gothic"/>
      <family val="2"/>
      <scheme val="major"/>
    </font>
    <font>
      <b/>
      <sz val="12"/>
      <color theme="9" tint="-0.499984740745262"/>
      <name val="Century Gothic"/>
      <family val="2"/>
      <scheme val="minor"/>
    </font>
    <font>
      <b/>
      <sz val="11"/>
      <color theme="2" tint="-0.89996032593768116"/>
      <name val="Century Gothic"/>
      <family val="2"/>
      <scheme val="minor"/>
    </font>
    <font>
      <sz val="11"/>
      <color theme="2" tint="-0.89992980742820516"/>
      <name val="Century Gothic"/>
      <family val="2"/>
      <scheme val="minor"/>
    </font>
    <font>
      <sz val="11"/>
      <color theme="2" tint="-0.89989928891872917"/>
      <name val="Century Gothic"/>
      <family val="2"/>
      <scheme val="minor"/>
    </font>
    <font>
      <sz val="11"/>
      <color theme="0"/>
      <name val="Century Gothic"/>
      <family val="2"/>
      <scheme val="minor"/>
    </font>
    <font>
      <b/>
      <sz val="11"/>
      <color theme="9"/>
      <name val="Century Gothic"/>
      <family val="2"/>
      <scheme val="minor"/>
    </font>
    <font>
      <sz val="11"/>
      <color theme="3" tint="0.14993743705557422"/>
      <name val="Century Gothic"/>
      <family val="2"/>
      <scheme val="minor"/>
    </font>
  </fonts>
  <fills count="4">
    <fill>
      <patternFill patternType="none"/>
    </fill>
    <fill>
      <patternFill patternType="gray125"/>
    </fill>
    <fill>
      <patternFill patternType="solid">
        <fgColor theme="2"/>
        <bgColor indexed="64"/>
      </patternFill>
    </fill>
    <fill>
      <patternFill patternType="solid">
        <fgColor rgb="FFFFFFCC"/>
      </patternFill>
    </fill>
  </fills>
  <borders count="8">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theme="9"/>
      </left>
      <right style="thin">
        <color theme="9"/>
      </right>
      <top style="thin">
        <color theme="9"/>
      </top>
      <bottom style="thin">
        <color theme="9"/>
      </bottom>
      <diagonal/>
    </border>
    <border>
      <left style="thin">
        <color auto="1"/>
      </left>
      <right/>
      <top/>
      <bottom/>
      <diagonal/>
    </border>
    <border>
      <left style="thick">
        <color theme="0"/>
      </left>
      <right/>
      <top/>
      <bottom/>
      <diagonal/>
    </border>
    <border>
      <left/>
      <right style="thick">
        <color theme="0"/>
      </right>
      <top/>
      <bottom/>
      <diagonal/>
    </border>
    <border>
      <left style="thin">
        <color indexed="64"/>
      </left>
      <right style="thin">
        <color indexed="64"/>
      </right>
      <top style="thin">
        <color indexed="64"/>
      </top>
      <bottom style="thin">
        <color indexed="64"/>
      </bottom>
      <diagonal/>
    </border>
  </borders>
  <cellStyleXfs count="17">
    <xf numFmtId="0" fontId="0" fillId="0" borderId="0">
      <alignment vertical="center"/>
    </xf>
    <xf numFmtId="0" fontId="3" fillId="0" borderId="0" applyNumberFormat="0" applyFill="0" applyBorder="0" applyProtection="0">
      <alignment horizontal="left" vertical="center" indent="1"/>
    </xf>
    <xf numFmtId="9" fontId="5" fillId="0" borderId="3" applyProtection="0">
      <alignment horizontal="center" vertical="center"/>
    </xf>
    <xf numFmtId="0" fontId="1" fillId="2" borderId="1" applyNumberFormat="0" applyFont="0" applyBorder="0" applyProtection="0">
      <alignment horizontal="right" vertical="center" indent="2"/>
    </xf>
    <xf numFmtId="3" fontId="8" fillId="0" borderId="0" applyFill="0" applyBorder="0" applyProtection="0">
      <alignment horizontal="left" vertical="center" indent="1"/>
    </xf>
    <xf numFmtId="0" fontId="8" fillId="0" borderId="0" applyFill="0" applyBorder="0" applyProtection="0">
      <alignment horizontal="left" vertical="center" wrapText="1" indent="1"/>
    </xf>
    <xf numFmtId="0" fontId="6" fillId="0" borderId="0" applyNumberFormat="0" applyBorder="0" applyProtection="0">
      <alignment horizontal="left" vertical="center" wrapText="1" indent="1"/>
    </xf>
    <xf numFmtId="0" fontId="2" fillId="3" borderId="2" applyNumberFormat="0" applyFont="0" applyAlignment="0" applyProtection="0"/>
    <xf numFmtId="14" fontId="7" fillId="0" borderId="0" applyFill="0" applyBorder="0" applyProtection="0">
      <alignment horizontal="right" vertical="center" indent="2"/>
    </xf>
    <xf numFmtId="0" fontId="4" fillId="0" borderId="0" applyNumberFormat="0" applyFill="0" applyBorder="0" applyAlignment="0" applyProtection="0"/>
    <xf numFmtId="164" fontId="10" fillId="0" borderId="0" applyFill="0" applyProtection="0">
      <alignment horizontal="left" vertical="center" indent="1"/>
    </xf>
    <xf numFmtId="0" fontId="6" fillId="0" borderId="5" applyNumberFormat="0" applyFill="0" applyProtection="0">
      <alignment horizontal="left" vertical="center" wrapText="1" indent="2"/>
    </xf>
    <xf numFmtId="164" fontId="9" fillId="0" borderId="4">
      <alignment horizontal="right" vertical="center"/>
    </xf>
    <xf numFmtId="14" fontId="7" fillId="0" borderId="5">
      <alignment horizontal="left" vertical="center" indent="2"/>
    </xf>
    <xf numFmtId="3" fontId="8" fillId="2" borderId="0" applyBorder="0">
      <alignment horizontal="left" vertical="center" indent="1"/>
    </xf>
    <xf numFmtId="3" fontId="8" fillId="2" borderId="6">
      <alignment horizontal="left" vertical="center" indent="1"/>
    </xf>
    <xf numFmtId="0" fontId="11" fillId="0" borderId="0">
      <alignment vertical="center"/>
    </xf>
  </cellStyleXfs>
  <cellXfs count="22">
    <xf numFmtId="0" fontId="0" fillId="0" borderId="0" xfId="0">
      <alignment vertical="center"/>
    </xf>
    <xf numFmtId="0" fontId="8" fillId="0" borderId="7" xfId="5" applyBorder="1">
      <alignment horizontal="left" vertical="center" wrapText="1" indent="1"/>
    </xf>
    <xf numFmtId="14" fontId="7" fillId="0" borderId="7" xfId="8" applyBorder="1">
      <alignment horizontal="right" vertical="center" indent="2"/>
    </xf>
    <xf numFmtId="3" fontId="8" fillId="0" borderId="7" xfId="4" applyBorder="1">
      <alignment horizontal="left" vertical="center" indent="1"/>
    </xf>
    <xf numFmtId="3" fontId="8" fillId="2" borderId="7" xfId="15" applyBorder="1">
      <alignment horizontal="left" vertical="center" indent="1"/>
    </xf>
    <xf numFmtId="14" fontId="7" fillId="0" borderId="7" xfId="13" applyBorder="1">
      <alignment horizontal="left" vertical="center" indent="2"/>
    </xf>
    <xf numFmtId="164" fontId="9" fillId="0" borderId="7" xfId="12" applyBorder="1">
      <alignment horizontal="right" vertical="center"/>
    </xf>
    <xf numFmtId="3" fontId="8" fillId="2" borderId="7" xfId="14" applyBorder="1">
      <alignment horizontal="left" vertical="center" indent="1"/>
    </xf>
    <xf numFmtId="0" fontId="8" fillId="0" borderId="7" xfId="5" applyBorder="1" applyProtection="1">
      <alignment horizontal="left" vertical="center" wrapText="1" indent="1"/>
    </xf>
    <xf numFmtId="14" fontId="7" fillId="0" borderId="7" xfId="8" applyBorder="1" applyProtection="1">
      <alignment horizontal="right" vertical="center" indent="2"/>
    </xf>
    <xf numFmtId="3" fontId="8" fillId="0" borderId="7" xfId="4" applyBorder="1" applyProtection="1">
      <alignment horizontal="left" vertical="center" indent="1"/>
    </xf>
    <xf numFmtId="14" fontId="7" fillId="0" borderId="7" xfId="13" applyFill="1" applyBorder="1">
      <alignment horizontal="left" vertical="center" indent="2"/>
    </xf>
    <xf numFmtId="164" fontId="9" fillId="0" borderId="7" xfId="12" applyFill="1" applyBorder="1">
      <alignment horizontal="right" vertical="center"/>
    </xf>
    <xf numFmtId="0" fontId="0" fillId="0" borderId="0" xfId="0" applyBorder="1" applyProtection="1">
      <alignment vertical="center"/>
    </xf>
    <xf numFmtId="14" fontId="0" fillId="0" borderId="0" xfId="8" applyFont="1" applyBorder="1" applyAlignment="1" applyProtection="1">
      <alignment vertical="center"/>
    </xf>
    <xf numFmtId="0" fontId="6" fillId="0" borderId="0" xfId="6" applyBorder="1">
      <alignment horizontal="left" vertical="center" wrapText="1" indent="1"/>
    </xf>
    <xf numFmtId="14" fontId="6" fillId="0" borderId="0" xfId="6" applyNumberFormat="1" applyBorder="1">
      <alignment horizontal="left" vertical="center" wrapText="1" indent="1"/>
    </xf>
    <xf numFmtId="3" fontId="6" fillId="0" borderId="0" xfId="6" applyNumberFormat="1" applyBorder="1">
      <alignment horizontal="left" vertical="center" wrapText="1" indent="1"/>
    </xf>
    <xf numFmtId="0" fontId="6" fillId="0" borderId="0" xfId="6" applyNumberFormat="1" applyBorder="1">
      <alignment horizontal="left" vertical="center" wrapText="1" indent="1"/>
    </xf>
    <xf numFmtId="14" fontId="6" fillId="0" borderId="0" xfId="11" applyNumberFormat="1" applyBorder="1">
      <alignment horizontal="left" vertical="center" wrapText="1" indent="2"/>
    </xf>
    <xf numFmtId="164" fontId="10" fillId="0" borderId="0" xfId="10" applyBorder="1">
      <alignment horizontal="left" vertical="center" indent="1"/>
    </xf>
    <xf numFmtId="0" fontId="4" fillId="0" borderId="0" xfId="9" applyBorder="1" applyAlignment="1" applyProtection="1">
      <alignment vertical="center"/>
    </xf>
  </cellXfs>
  <cellStyles count="17">
    <cellStyle name="Actual Start" xfId="13"/>
    <cellStyle name="Date" xfId="8"/>
    <cellStyle name="Estimated duration" xfId="15"/>
    <cellStyle name="Flag" xfId="12"/>
    <cellStyle name="Grey Column" xfId="14"/>
    <cellStyle name="Heading 1" xfId="1" builtinId="16" customBuiltin="1"/>
    <cellStyle name="Heading 2" xfId="6" builtinId="17" customBuiltin="1"/>
    <cellStyle name="Heading 3" xfId="10" builtinId="18" customBuiltin="1"/>
    <cellStyle name="Heading 4" xfId="11" builtinId="19" customBuiltin="1"/>
    <cellStyle name="Input" xfId="2" builtinId="20" customBuiltin="1"/>
    <cellStyle name="Normal" xfId="0" builtinId="0" customBuiltin="1"/>
    <cellStyle name="Normal 2" xfId="16"/>
    <cellStyle name="Note" xfId="7" builtinId="10" customBuiltin="1"/>
    <cellStyle name="Numbers" xfId="4"/>
    <cellStyle name="Output" xfId="3" builtinId="21" customBuiltin="1"/>
    <cellStyle name="Text" xfId="5"/>
    <cellStyle name="Title" xfId="9" builtinId="15" customBuiltin="1"/>
  </cellStyles>
  <dxfs count="19">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Over/Under flag&quot;;&quot;&quot;;&quot;&quo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9"/>
        </bottom>
      </border>
    </dxf>
    <dxf>
      <border diagonalUp="0" diagonalDown="0">
        <left style="thin">
          <color indexed="64"/>
        </left>
        <right style="thin">
          <color indexed="64"/>
        </right>
        <top/>
        <bottom/>
        <vertical style="thin">
          <color indexed="64"/>
        </vertical>
        <horizontal style="thin">
          <color indexed="64"/>
        </horizontal>
      </border>
    </dxf>
    <dxf>
      <font>
        <b/>
        <i val="0"/>
        <color theme="4" tint="-0.499984740745262"/>
      </font>
    </dxf>
    <dxf>
      <font>
        <b/>
        <i val="0"/>
        <color theme="4" tint="-0.499984740745262"/>
      </font>
    </dxf>
    <dxf>
      <font>
        <b/>
        <i val="0"/>
        <color theme="2" tint="-0.89996032593768116"/>
      </font>
      <fill>
        <patternFill>
          <bgColor theme="9"/>
        </patternFill>
      </fill>
      <border>
        <bottom/>
      </border>
    </dxf>
    <dxf>
      <font>
        <b val="0"/>
        <i val="0"/>
        <color theme="2" tint="-0.749961851863155"/>
      </font>
      <border>
        <bottom style="thin">
          <color theme="9"/>
        </bottom>
        <horizontal style="thin">
          <color theme="3" tint="0.59996337778862885"/>
        </horizontal>
      </border>
    </dxf>
  </dxfs>
  <tableStyles count="1" defaultTableStyle="Custom Table Style" defaultPivotStyle="PivotStyleMedium2">
    <tableStyle name="Custom Table Style" pivot="0" count="2">
      <tableStyleElement type="wholeTable" dxfId="18"/>
      <tableStyleElement type="headerRow" dxfId="17"/>
    </tableStyle>
  </tableStyles>
  <extLst>
    <ext xmlns:x14="http://schemas.microsoft.com/office/spreadsheetml/2009/9/main" uri="{EB79DEF2-80B8-43e5-95BD-54CBDDF9020C}">
      <x14:slicerStyles defaultSlicerStyle="SlicerStyleDark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'Project Tracker'!$G$2</c:f>
              <c:strCache>
                <c:ptCount val="1"/>
                <c:pt idx="0">
                  <c:v>Estimated Work (in hours)</c:v>
                </c:pt>
              </c:strCache>
            </c:strRef>
          </c:tx>
          <c:spPr>
            <a:solidFill>
              <a:schemeClr val="accent1"/>
            </a:solidFill>
            <a:ln>
              <a:noFill/>
            </a:ln>
            <a:effectLst/>
          </c:spPr>
          <c:invertIfNegative val="0"/>
          <c:cat>
            <c:strRef>
              <c:f>'Project Tracker'!$B$3:$B$11</c:f>
              <c:strCache>
                <c:ptCount val="9"/>
                <c:pt idx="0">
                  <c:v>Project 1</c:v>
                </c:pt>
                <c:pt idx="1">
                  <c:v>Project 2</c:v>
                </c:pt>
                <c:pt idx="2">
                  <c:v>Project 3</c:v>
                </c:pt>
                <c:pt idx="3">
                  <c:v>Project 4</c:v>
                </c:pt>
                <c:pt idx="4">
                  <c:v>Project 5</c:v>
                </c:pt>
                <c:pt idx="5">
                  <c:v>Project 6</c:v>
                </c:pt>
                <c:pt idx="6">
                  <c:v>Project 7</c:v>
                </c:pt>
                <c:pt idx="7">
                  <c:v>Project 8</c:v>
                </c:pt>
                <c:pt idx="8">
                  <c:v>project 9</c:v>
                </c:pt>
              </c:strCache>
            </c:strRef>
          </c:cat>
          <c:val>
            <c:numRef>
              <c:f>'Project Tracker'!$G$3:$G$11</c:f>
              <c:numCache>
                <c:formatCode>#,##0</c:formatCode>
                <c:ptCount val="9"/>
                <c:pt idx="0">
                  <c:v>210</c:v>
                </c:pt>
                <c:pt idx="1">
                  <c:v>400</c:v>
                </c:pt>
                <c:pt idx="2">
                  <c:v>500</c:v>
                </c:pt>
                <c:pt idx="3">
                  <c:v>250</c:v>
                </c:pt>
                <c:pt idx="4">
                  <c:v>300</c:v>
                </c:pt>
                <c:pt idx="5">
                  <c:v>500</c:v>
                </c:pt>
                <c:pt idx="6">
                  <c:v>750</c:v>
                </c:pt>
                <c:pt idx="7">
                  <c:v>450</c:v>
                </c:pt>
                <c:pt idx="8">
                  <c:v>250</c:v>
                </c:pt>
              </c:numCache>
            </c:numRef>
          </c:val>
          <c:extLst>
            <c:ext xmlns:c16="http://schemas.microsoft.com/office/drawing/2014/chart" uri="{C3380CC4-5D6E-409C-BE32-E72D297353CC}">
              <c16:uniqueId val="{00000000-F902-4DB0-8782-12E4A5D2541A}"/>
            </c:ext>
          </c:extLst>
        </c:ser>
        <c:ser>
          <c:idx val="1"/>
          <c:order val="1"/>
          <c:tx>
            <c:strRef>
              <c:f>'Project Tracker'!$L$2</c:f>
              <c:strCache>
                <c:ptCount val="1"/>
                <c:pt idx="0">
                  <c:v>Actual Work (in hours)</c:v>
                </c:pt>
              </c:strCache>
            </c:strRef>
          </c:tx>
          <c:spPr>
            <a:solidFill>
              <a:schemeClr val="accent2"/>
            </a:solidFill>
            <a:ln>
              <a:noFill/>
            </a:ln>
            <a:effectLst/>
          </c:spPr>
          <c:invertIfNegative val="0"/>
          <c:cat>
            <c:strRef>
              <c:f>'Project Tracker'!$B$3:$B$11</c:f>
              <c:strCache>
                <c:ptCount val="9"/>
                <c:pt idx="0">
                  <c:v>Project 1</c:v>
                </c:pt>
                <c:pt idx="1">
                  <c:v>Project 2</c:v>
                </c:pt>
                <c:pt idx="2">
                  <c:v>Project 3</c:v>
                </c:pt>
                <c:pt idx="3">
                  <c:v>Project 4</c:v>
                </c:pt>
                <c:pt idx="4">
                  <c:v>Project 5</c:v>
                </c:pt>
                <c:pt idx="5">
                  <c:v>Project 6</c:v>
                </c:pt>
                <c:pt idx="6">
                  <c:v>Project 7</c:v>
                </c:pt>
                <c:pt idx="7">
                  <c:v>Project 8</c:v>
                </c:pt>
                <c:pt idx="8">
                  <c:v>project 9</c:v>
                </c:pt>
              </c:strCache>
            </c:strRef>
          </c:cat>
          <c:val>
            <c:numRef>
              <c:f>'Project Tracker'!$L$3:$L$11</c:f>
              <c:numCache>
                <c:formatCode>#,##0</c:formatCode>
                <c:ptCount val="9"/>
                <c:pt idx="0">
                  <c:v>300</c:v>
                </c:pt>
                <c:pt idx="1">
                  <c:v>390</c:v>
                </c:pt>
                <c:pt idx="2">
                  <c:v>500</c:v>
                </c:pt>
                <c:pt idx="3">
                  <c:v>276</c:v>
                </c:pt>
                <c:pt idx="4">
                  <c:v>310</c:v>
                </c:pt>
                <c:pt idx="5">
                  <c:v>510</c:v>
                </c:pt>
                <c:pt idx="6">
                  <c:v>790</c:v>
                </c:pt>
                <c:pt idx="7">
                  <c:v>430</c:v>
                </c:pt>
                <c:pt idx="8">
                  <c:v>200</c:v>
                </c:pt>
              </c:numCache>
            </c:numRef>
          </c:val>
          <c:extLst>
            <c:ext xmlns:c16="http://schemas.microsoft.com/office/drawing/2014/chart" uri="{C3380CC4-5D6E-409C-BE32-E72D297353CC}">
              <c16:uniqueId val="{00000001-F902-4DB0-8782-12E4A5D2541A}"/>
            </c:ext>
          </c:extLst>
        </c:ser>
        <c:dLbls>
          <c:showLegendKey val="0"/>
          <c:showVal val="0"/>
          <c:showCatName val="0"/>
          <c:showSerName val="0"/>
          <c:showPercent val="0"/>
          <c:showBubbleSize val="0"/>
        </c:dLbls>
        <c:gapWidth val="219"/>
        <c:overlap val="-27"/>
        <c:axId val="1056346255"/>
        <c:axId val="1427473919"/>
      </c:barChart>
      <c:catAx>
        <c:axId val="1056346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473919"/>
        <c:crosses val="autoZero"/>
        <c:auto val="1"/>
        <c:lblAlgn val="ctr"/>
        <c:lblOffset val="100"/>
        <c:noMultiLvlLbl val="0"/>
      </c:catAx>
      <c:valAx>
        <c:axId val="14274739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346255"/>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12</xdr:row>
      <xdr:rowOff>142875</xdr:rowOff>
    </xdr:from>
    <xdr:to>
      <xdr:col>1</xdr:col>
      <xdr:colOff>1396865</xdr:colOff>
      <xdr:row>15</xdr:row>
      <xdr:rowOff>89580</xdr:rowOff>
    </xdr:to>
    <xdr:pic macro="[0]!All_Questions">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2943225"/>
          <a:ext cx="1377815" cy="518205"/>
        </a:xfrm>
        <a:prstGeom prst="rect">
          <a:avLst/>
        </a:prstGeom>
      </xdr:spPr>
    </xdr:pic>
    <xdr:clientData/>
  </xdr:twoCellAnchor>
  <xdr:twoCellAnchor>
    <xdr:from>
      <xdr:col>8</xdr:col>
      <xdr:colOff>409575</xdr:colOff>
      <xdr:row>11</xdr:row>
      <xdr:rowOff>161925</xdr:rowOff>
    </xdr:from>
    <xdr:to>
      <xdr:col>14</xdr:col>
      <xdr:colOff>0</xdr:colOff>
      <xdr:row>25</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28575</xdr:colOff>
      <xdr:row>16</xdr:row>
      <xdr:rowOff>38100</xdr:rowOff>
    </xdr:from>
    <xdr:to>
      <xdr:col>6</xdr:col>
      <xdr:colOff>952500</xdr:colOff>
      <xdr:row>24</xdr:row>
      <xdr:rowOff>104775</xdr:rowOff>
    </xdr:to>
    <xdr:pic>
      <xdr:nvPicPr>
        <xdr:cNvPr id="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8600" y="3886200"/>
          <a:ext cx="8477250" cy="159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urphy\Dropbox\DM%20Video%20Productions\MOS%20Certification\MOS%2077-727%20Practice%20Exams\In%20Prep%20Exam%20Files\Exam%203\Project%204\Warehouse%20inventor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ory List"/>
      <sheetName val="Inventory Pick List"/>
      <sheetName val="Working sheet"/>
      <sheetName val="Warehouse inventory"/>
    </sheetNames>
    <sheetDataSet>
      <sheetData sheetId="0"/>
      <sheetData sheetId="1"/>
      <sheetData sheetId="2" refreshError="1"/>
      <sheetData sheetId="3" refreshError="1"/>
    </sheetDataSet>
  </externalBook>
</externalLink>
</file>

<file path=xl/tables/table1.xml><?xml version="1.0" encoding="utf-8"?>
<table xmlns="http://schemas.openxmlformats.org/spreadsheetml/2006/main" id="1" name="ProjectTracker" displayName="ProjectTracker" ref="B2:N11" totalsRowShown="0" headerRowDxfId="14" tableBorderDxfId="13" headerRowCellStyle="Heading 2">
  <autoFilter ref="B2:N11"/>
  <tableColumns count="13">
    <tableColumn id="1" name="Project" dataDxfId="12" dataCellStyle="Text"/>
    <tableColumn id="2" name="Category" dataDxfId="11" dataCellStyle="Text"/>
    <tableColumn id="3" name="Assigned To" dataDxfId="10" dataCellStyle="Text"/>
    <tableColumn id="4" name="Estimated_x000a_Start" dataDxfId="9" dataCellStyle="Date"/>
    <tableColumn id="5" name="Estimated _x000a_Finish" dataDxfId="8" dataCellStyle="Date"/>
    <tableColumn id="6" name="Estimated Work (in hours)" dataDxfId="7" dataCellStyle="Numbers"/>
    <tableColumn id="7" name="Estimated Duration (in days)" dataDxfId="6" dataCellStyle="Estimated duration">
      <calculatedColumnFormula>IF(COUNTA('Project Tracker'!$E3,'Project Tracker'!$F3)&lt;&gt;2,"",DAYS360('Project Tracker'!$E3,'Project Tracker'!$F3,FALSE))</calculatedColumnFormula>
    </tableColumn>
    <tableColumn id="8" name="Actual _x000a_Start" dataDxfId="5" dataCellStyle="Actual Start"/>
    <tableColumn id="9" name="Actual_x000a_Finish" dataDxfId="4" dataCellStyle="Date"/>
    <tableColumn id="13" name="Flag icon for Over/Under Actual Work (in hours)" dataDxfId="3" dataCellStyle="Flag">
      <calculatedColumnFormula>IFERROR(IF(ProjectTracker[Actual Work (in hours)]=0,"",IF(ABS((ProjectTracker[[#This Row],[Actual Work (in hours)]]-ProjectTracker[[#This Row],[Estimated Work (in hours)]])/ProjectTracker[[#This Row],[Estimated Work (in hours)]])&gt;FlagPercent,1,0)),"")</calculatedColumnFormula>
    </tableColumn>
    <tableColumn id="10" name="Actual Work (in hours)" dataDxfId="2" dataCellStyle="Numbers"/>
    <tableColumn id="14" name="Flag icon for Over/Under Actual Duration (in days)" dataDxfId="1" dataCellStyle="Flag">
      <calculatedColumnFormula>IFERROR(IF(ProjectTracker[Actual Duration (in days)]=0,"",IF(ABS((ProjectTracker[[#This Row],[Actual Duration (in days)]]-ProjectTracker[[#This Row],[Estimated Duration (in days)]])/ProjectTracker[[#This Row],[Estimated Duration (in days)]])&gt;FlagPercent,1,0)),"")</calculatedColumnFormula>
    </tableColumn>
    <tableColumn id="11" name="Actual Duration (in days)" dataDxfId="0" dataCellStyle="Grey Column">
      <calculatedColumnFormula>IF(COUNTA('Project Tracker'!$I3,'Project Tracker'!$J3)&lt;&gt;2,"",DAYS360('Project Tracker'!$I3,'Project Tracker'!$J3,FALSE))</calculatedColumnFormula>
    </tableColumn>
  </tableColumns>
  <tableStyleInfo name="Custom Table Style" showFirstColumn="0" showLastColumn="0" showRowStripes="1" showColumnStripes="0"/>
  <extLst>
    <ext xmlns:x14="http://schemas.microsoft.com/office/spreadsheetml/2009/9/main" uri="{504A1905-F514-4f6f-8877-14C23A59335A}">
      <x14:table altText="Project table" altTextSummary="List of project details such as Project, Category, Assigned To, Estimated Start, Estimated Finish, Estimated Work in hours, Estimated Duration in days,  Actual Start, Actual Finish, Actual Work, Actual Duration,and Notes"/>
    </ext>
  </extLst>
</table>
</file>

<file path=xl/theme/theme1.xml><?xml version="1.0" encoding="utf-8"?>
<a:theme xmlns:a="http://schemas.openxmlformats.org/drawingml/2006/main" name="Office Theme">
  <a:themeElements>
    <a:clrScheme name="072_Project_Tracker">
      <a:dk1>
        <a:sysClr val="windowText" lastClr="000000"/>
      </a:dk1>
      <a:lt1>
        <a:sysClr val="window" lastClr="FFFFFF"/>
      </a:lt1>
      <a:dk2>
        <a:srgbClr val="4C483D"/>
      </a:dk2>
      <a:lt2>
        <a:srgbClr val="E4E3E2"/>
      </a:lt2>
      <a:accent1>
        <a:srgbClr val="FF5959"/>
      </a:accent1>
      <a:accent2>
        <a:srgbClr val="8DBB70"/>
      </a:accent2>
      <a:accent3>
        <a:srgbClr val="F0BB44"/>
      </a:accent3>
      <a:accent4>
        <a:srgbClr val="61ADBF"/>
      </a:accent4>
      <a:accent5>
        <a:srgbClr val="A3648B"/>
      </a:accent5>
      <a:accent6>
        <a:srgbClr val="F8943F"/>
      </a:accent6>
      <a:hlink>
        <a:srgbClr val="61ADBF"/>
      </a:hlink>
      <a:folHlink>
        <a:srgbClr val="A3648B"/>
      </a:folHlink>
    </a:clrScheme>
    <a:fontScheme name="085_Weekly_Time_Planner">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pageSetUpPr autoPageBreaks="0" fitToPage="1"/>
  </sheetPr>
  <dimension ref="B1:N11"/>
  <sheetViews>
    <sheetView tabSelected="1" zoomScaleNormal="100" workbookViewId="0">
      <pane ySplit="2" topLeftCell="A3" activePane="bottomLeft" state="frozen"/>
      <selection pane="bottomLeft" activeCell="B1" sqref="B1:C1"/>
    </sheetView>
  </sheetViews>
  <sheetFormatPr defaultColWidth="9" defaultRowHeight="15" customHeight="1" x14ac:dyDescent="0.3"/>
  <cols>
    <col min="1" max="1" width="2.625" style="13" customWidth="1"/>
    <col min="2" max="4" width="22.625" style="13" customWidth="1"/>
    <col min="5" max="6" width="15.625" style="14" customWidth="1"/>
    <col min="7" max="8" width="12.625" style="13" customWidth="1"/>
    <col min="9" max="10" width="15.625" style="14" customWidth="1"/>
    <col min="11" max="11" width="2.875" style="14" customWidth="1"/>
    <col min="12" max="12" width="12.625" style="13" customWidth="1"/>
    <col min="13" max="13" width="2.875" style="13" customWidth="1"/>
    <col min="14" max="14" width="12.625" style="13" customWidth="1"/>
    <col min="15" max="15" width="31.375" style="13" customWidth="1"/>
    <col min="16" max="16384" width="9" style="13"/>
  </cols>
  <sheetData>
    <row r="1" spans="2:14" ht="37.5" customHeight="1" x14ac:dyDescent="0.3">
      <c r="B1" s="21" t="s">
        <v>7</v>
      </c>
      <c r="C1" s="21"/>
    </row>
    <row r="2" spans="2:14" ht="55.5" customHeight="1" x14ac:dyDescent="0.3">
      <c r="B2" s="15" t="s">
        <v>0</v>
      </c>
      <c r="C2" s="15" t="s">
        <v>1</v>
      </c>
      <c r="D2" s="15" t="s">
        <v>2</v>
      </c>
      <c r="E2" s="16" t="s">
        <v>21</v>
      </c>
      <c r="F2" s="16" t="s">
        <v>23</v>
      </c>
      <c r="G2" s="17" t="s">
        <v>24</v>
      </c>
      <c r="H2" s="18" t="s">
        <v>27</v>
      </c>
      <c r="I2" s="19" t="s">
        <v>30</v>
      </c>
      <c r="J2" s="16" t="s">
        <v>22</v>
      </c>
      <c r="K2" s="20" t="s">
        <v>28</v>
      </c>
      <c r="L2" s="17" t="s">
        <v>25</v>
      </c>
      <c r="M2" s="20" t="s">
        <v>29</v>
      </c>
      <c r="N2" s="17" t="s">
        <v>26</v>
      </c>
    </row>
    <row r="3" spans="2:14" ht="15" customHeight="1" x14ac:dyDescent="0.3">
      <c r="B3" s="1" t="s">
        <v>13</v>
      </c>
      <c r="C3" s="1" t="s">
        <v>8</v>
      </c>
      <c r="D3" s="1" t="s">
        <v>3</v>
      </c>
      <c r="E3" s="2">
        <f ca="1">TODAY()-65</f>
        <v>43430</v>
      </c>
      <c r="F3" s="2">
        <f ca="1">TODAY()-5</f>
        <v>43490</v>
      </c>
      <c r="G3" s="3">
        <v>210</v>
      </c>
      <c r="H3" s="4">
        <f ca="1">IF(COUNTA('Project Tracker'!$E3,'Project Tracker'!$F3)&lt;&gt;2,"",DAYS360('Project Tracker'!$E3,'Project Tracker'!$F3,FALSE))</f>
        <v>59</v>
      </c>
      <c r="I3" s="5">
        <f ca="1">TODAY()-65</f>
        <v>43430</v>
      </c>
      <c r="J3" s="2">
        <f ca="1">TODAY()</f>
        <v>43495</v>
      </c>
      <c r="K3" s="6" t="str">
        <f>IFERROR(IF(ProjectTracker[Actual Work (in hours)]=0,"",IF(ABS((ProjectTracker[[#This Row],[Actual Work (in hours)]]-ProjectTracker[[#This Row],[Estimated Work (in hours)]])/ProjectTracker[[#This Row],[Estimated Work (in hours)]])&gt;FlagPercent,1,0)),"")</f>
        <v/>
      </c>
      <c r="L3" s="3">
        <v>300</v>
      </c>
      <c r="M3" s="6" t="str">
        <f ca="1">IFERROR(IF(ProjectTracker[Actual Duration (in days)]=0,"",IF(ABS((ProjectTracker[[#This Row],[Actual Duration (in days)]]-ProjectTracker[[#This Row],[Estimated Duration (in days)]])/ProjectTracker[[#This Row],[Estimated Duration (in days)]])&gt;FlagPercent,1,0)),"")</f>
        <v/>
      </c>
      <c r="N3" s="7">
        <f ca="1">IF(COUNTA('Project Tracker'!$I3,'Project Tracker'!$J3)&lt;&gt;2,"",DAYS360('Project Tracker'!$I3,'Project Tracker'!$J3,FALSE))</f>
        <v>64</v>
      </c>
    </row>
    <row r="4" spans="2:14" ht="15" customHeight="1" x14ac:dyDescent="0.3">
      <c r="B4" s="1" t="s">
        <v>14</v>
      </c>
      <c r="C4" s="1" t="s">
        <v>9</v>
      </c>
      <c r="D4" s="1" t="s">
        <v>6</v>
      </c>
      <c r="E4" s="2">
        <f ca="1">TODAY()-41</f>
        <v>43454</v>
      </c>
      <c r="F4" s="2">
        <f ca="1">TODAY()-10</f>
        <v>43485</v>
      </c>
      <c r="G4" s="3">
        <v>400</v>
      </c>
      <c r="H4" s="4">
        <f ca="1">IF(COUNTA('Project Tracker'!$E4,'Project Tracker'!$F4)&lt;&gt;2,"",DAYS360('Project Tracker'!$E4,'Project Tracker'!$F4,FALSE))</f>
        <v>30</v>
      </c>
      <c r="I4" s="5">
        <f ca="1">TODAY()-41</f>
        <v>43454</v>
      </c>
      <c r="J4" s="2">
        <f ca="1">TODAY()-7</f>
        <v>43488</v>
      </c>
      <c r="K4" s="6" t="str">
        <f>IFERROR(IF(ProjectTracker[Actual Work (in hours)]=0,"",IF(ABS((ProjectTracker[[#This Row],[Actual Work (in hours)]]-ProjectTracker[[#This Row],[Estimated Work (in hours)]])/ProjectTracker[[#This Row],[Estimated Work (in hours)]])&gt;FlagPercent,1,0)),"")</f>
        <v/>
      </c>
      <c r="L4" s="3">
        <v>390</v>
      </c>
      <c r="M4" s="6" t="str">
        <f ca="1">IFERROR(IF(ProjectTracker[Actual Duration (in days)]=0,"",IF(ABS((ProjectTracker[[#This Row],[Actual Duration (in days)]]-ProjectTracker[[#This Row],[Estimated Duration (in days)]])/ProjectTracker[[#This Row],[Estimated Duration (in days)]])&gt;FlagPercent,1,0)),"")</f>
        <v/>
      </c>
      <c r="N4" s="7">
        <f ca="1">IF(COUNTA('Project Tracker'!$I4,'Project Tracker'!$J4)&lt;&gt;2,"",DAYS360('Project Tracker'!$I4,'Project Tracker'!$J4,FALSE))</f>
        <v>33</v>
      </c>
    </row>
    <row r="5" spans="2:14" ht="15" customHeight="1" x14ac:dyDescent="0.3">
      <c r="B5" s="1" t="s">
        <v>15</v>
      </c>
      <c r="C5" s="1" t="s">
        <v>8</v>
      </c>
      <c r="D5" s="1" t="s">
        <v>4</v>
      </c>
      <c r="E5" s="2">
        <f ca="1">TODAY()-100</f>
        <v>43395</v>
      </c>
      <c r="F5" s="2">
        <f ca="1">TODAY()-40</f>
        <v>43455</v>
      </c>
      <c r="G5" s="3">
        <v>500</v>
      </c>
      <c r="H5" s="4">
        <f ca="1">IF(COUNTA('Project Tracker'!$E5,'Project Tracker'!$F5)&lt;&gt;2,"",DAYS360('Project Tracker'!$E5,'Project Tracker'!$F5,FALSE))</f>
        <v>59</v>
      </c>
      <c r="I5" s="5">
        <f ca="1">TODAY()-100</f>
        <v>43395</v>
      </c>
      <c r="J5" s="2">
        <f ca="1">TODAY()-27</f>
        <v>43468</v>
      </c>
      <c r="K5" s="6" t="str">
        <f>IFERROR(IF(ProjectTracker[Actual Work (in hours)]=0,"",IF(ABS((ProjectTracker[[#This Row],[Actual Work (in hours)]]-ProjectTracker[[#This Row],[Estimated Work (in hours)]])/ProjectTracker[[#This Row],[Estimated Work (in hours)]])&gt;FlagPercent,1,0)),"")</f>
        <v/>
      </c>
      <c r="L5" s="3">
        <v>500</v>
      </c>
      <c r="M5" s="6" t="str">
        <f ca="1">IFERROR(IF(ProjectTracker[Actual Duration (in days)]=0,"",IF(ABS((ProjectTracker[[#This Row],[Actual Duration (in days)]]-ProjectTracker[[#This Row],[Estimated Duration (in days)]])/ProjectTracker[[#This Row],[Estimated Duration (in days)]])&gt;FlagPercent,1,0)),"")</f>
        <v/>
      </c>
      <c r="N5" s="7">
        <f ca="1">IF(COUNTA('Project Tracker'!$I5,'Project Tracker'!$J5)&lt;&gt;2,"",DAYS360('Project Tracker'!$I5,'Project Tracker'!$J5,FALSE))</f>
        <v>71</v>
      </c>
    </row>
    <row r="6" spans="2:14" ht="15" customHeight="1" x14ac:dyDescent="0.3">
      <c r="B6" s="1" t="s">
        <v>16</v>
      </c>
      <c r="C6" s="1" t="s">
        <v>9</v>
      </c>
      <c r="D6" s="1" t="s">
        <v>5</v>
      </c>
      <c r="E6" s="2">
        <f ca="1">TODAY()-90</f>
        <v>43405</v>
      </c>
      <c r="F6" s="2">
        <f ca="1">TODAY()-80</f>
        <v>43415</v>
      </c>
      <c r="G6" s="3">
        <v>250</v>
      </c>
      <c r="H6" s="4">
        <f ca="1">IF(COUNTA('Project Tracker'!$E6,'Project Tracker'!$F6)&lt;&gt;2,"",DAYS360('Project Tracker'!$E6,'Project Tracker'!$F6,FALSE))</f>
        <v>10</v>
      </c>
      <c r="I6" s="5">
        <f ca="1">TODAY()-90</f>
        <v>43405</v>
      </c>
      <c r="J6" s="2">
        <f ca="1">TODAY()-71</f>
        <v>43424</v>
      </c>
      <c r="K6" s="6" t="str">
        <f>IFERROR(IF(ProjectTracker[Actual Work (in hours)]=0,"",IF(ABS((ProjectTracker[[#This Row],[Actual Work (in hours)]]-ProjectTracker[[#This Row],[Estimated Work (in hours)]])/ProjectTracker[[#This Row],[Estimated Work (in hours)]])&gt;FlagPercent,1,0)),"")</f>
        <v/>
      </c>
      <c r="L6" s="3">
        <v>276</v>
      </c>
      <c r="M6" s="6" t="str">
        <f ca="1">IFERROR(IF(ProjectTracker[Actual Duration (in days)]=0,"",IF(ABS((ProjectTracker[[#This Row],[Actual Duration (in days)]]-ProjectTracker[[#This Row],[Estimated Duration (in days)]])/ProjectTracker[[#This Row],[Estimated Duration (in days)]])&gt;FlagPercent,1,0)),"")</f>
        <v/>
      </c>
      <c r="N6" s="7">
        <f ca="1">IF(COUNTA('Project Tracker'!$I6,'Project Tracker'!$J6)&lt;&gt;2,"",DAYS360('Project Tracker'!$I6,'Project Tracker'!$J6,FALSE))</f>
        <v>19</v>
      </c>
    </row>
    <row r="7" spans="2:14" ht="15" customHeight="1" x14ac:dyDescent="0.3">
      <c r="B7" s="1" t="s">
        <v>17</v>
      </c>
      <c r="C7" s="1" t="s">
        <v>10</v>
      </c>
      <c r="D7" s="1" t="s">
        <v>4</v>
      </c>
      <c r="E7" s="2">
        <f ca="1">TODAY()-90</f>
        <v>43405</v>
      </c>
      <c r="F7" s="2">
        <f ca="1">TODAY()-50</f>
        <v>43445</v>
      </c>
      <c r="G7" s="3">
        <v>300</v>
      </c>
      <c r="H7" s="4">
        <f ca="1">IF(COUNTA('Project Tracker'!$E7,'Project Tracker'!$F7)&lt;&gt;2,"",DAYS360('Project Tracker'!$E7,'Project Tracker'!$F7,FALSE))</f>
        <v>40</v>
      </c>
      <c r="I7" s="5">
        <f ca="1">TODAY()-90</f>
        <v>43405</v>
      </c>
      <c r="J7" s="2">
        <f ca="1">TODAY()-44</f>
        <v>43451</v>
      </c>
      <c r="K7" s="6" t="str">
        <f>IFERROR(IF(ProjectTracker[Actual Work (in hours)]=0,"",IF(ABS((ProjectTracker[[#This Row],[Actual Work (in hours)]]-ProjectTracker[[#This Row],[Estimated Work (in hours)]])/ProjectTracker[[#This Row],[Estimated Work (in hours)]])&gt;FlagPercent,1,0)),"")</f>
        <v/>
      </c>
      <c r="L7" s="3">
        <v>310</v>
      </c>
      <c r="M7" s="6" t="str">
        <f ca="1">IFERROR(IF(ProjectTracker[Actual Duration (in days)]=0,"",IF(ABS((ProjectTracker[[#This Row],[Actual Duration (in days)]]-ProjectTracker[[#This Row],[Estimated Duration (in days)]])/ProjectTracker[[#This Row],[Estimated Duration (in days)]])&gt;FlagPercent,1,0)),"")</f>
        <v/>
      </c>
      <c r="N7" s="7">
        <f ca="1">IF(COUNTA('Project Tracker'!$I7,'Project Tracker'!$J7)&lt;&gt;2,"",DAYS360('Project Tracker'!$I7,'Project Tracker'!$J7,FALSE))</f>
        <v>46</v>
      </c>
    </row>
    <row r="8" spans="2:14" ht="15" customHeight="1" x14ac:dyDescent="0.3">
      <c r="B8" s="1" t="s">
        <v>18</v>
      </c>
      <c r="C8" s="1" t="s">
        <v>11</v>
      </c>
      <c r="D8" s="1" t="s">
        <v>6</v>
      </c>
      <c r="E8" s="2">
        <f ca="1">TODAY()-60</f>
        <v>43435</v>
      </c>
      <c r="F8" s="2">
        <f ca="1">TODAY()-50</f>
        <v>43445</v>
      </c>
      <c r="G8" s="3">
        <v>500</v>
      </c>
      <c r="H8" s="4">
        <f ca="1">IF(COUNTA('Project Tracker'!$E8,'Project Tracker'!$F8)&lt;&gt;2,"",DAYS360('Project Tracker'!$E8,'Project Tracker'!$F8,FALSE))</f>
        <v>10</v>
      </c>
      <c r="I8" s="5">
        <f ca="1">TODAY()-60</f>
        <v>43435</v>
      </c>
      <c r="J8" s="2">
        <f ca="1">TODAY()-45</f>
        <v>43450</v>
      </c>
      <c r="K8" s="6" t="str">
        <f>IFERROR(IF(ProjectTracker[Actual Work (in hours)]=0,"",IF(ABS((ProjectTracker[[#This Row],[Actual Work (in hours)]]-ProjectTracker[[#This Row],[Estimated Work (in hours)]])/ProjectTracker[[#This Row],[Estimated Work (in hours)]])&gt;FlagPercent,1,0)),"")</f>
        <v/>
      </c>
      <c r="L8" s="3">
        <v>510</v>
      </c>
      <c r="M8" s="6" t="str">
        <f ca="1">IFERROR(IF(ProjectTracker[Actual Duration (in days)]=0,"",IF(ABS((ProjectTracker[[#This Row],[Actual Duration (in days)]]-ProjectTracker[[#This Row],[Estimated Duration (in days)]])/ProjectTracker[[#This Row],[Estimated Duration (in days)]])&gt;FlagPercent,1,0)),"")</f>
        <v/>
      </c>
      <c r="N8" s="7">
        <f ca="1">IF(COUNTA('Project Tracker'!$I8,'Project Tracker'!$J8)&lt;&gt;2,"",DAYS360('Project Tracker'!$I8,'Project Tracker'!$J8,FALSE))</f>
        <v>15</v>
      </c>
    </row>
    <row r="9" spans="2:14" ht="15" customHeight="1" x14ac:dyDescent="0.3">
      <c r="B9" s="1" t="s">
        <v>19</v>
      </c>
      <c r="C9" s="1" t="s">
        <v>12</v>
      </c>
      <c r="D9" s="1" t="s">
        <v>3</v>
      </c>
      <c r="E9" s="2">
        <f ca="1">TODAY()-44</f>
        <v>43451</v>
      </c>
      <c r="F9" s="2">
        <f ca="1">TODAY()-20</f>
        <v>43475</v>
      </c>
      <c r="G9" s="3">
        <v>750</v>
      </c>
      <c r="H9" s="4">
        <f ca="1">IF(COUNTA('Project Tracker'!$E9,'Project Tracker'!$F9)&lt;&gt;2,"",DAYS360('Project Tracker'!$E9,'Project Tracker'!$F9,FALSE))</f>
        <v>23</v>
      </c>
      <c r="I9" s="5">
        <f ca="1">TODAY()-44</f>
        <v>43451</v>
      </c>
      <c r="J9" s="2">
        <f ca="1">TODAY()-15</f>
        <v>43480</v>
      </c>
      <c r="K9" s="6" t="str">
        <f>IFERROR(IF(ProjectTracker[Actual Work (in hours)]=0,"",IF(ABS((ProjectTracker[[#This Row],[Actual Work (in hours)]]-ProjectTracker[[#This Row],[Estimated Work (in hours)]])/ProjectTracker[[#This Row],[Estimated Work (in hours)]])&gt;FlagPercent,1,0)),"")</f>
        <v/>
      </c>
      <c r="L9" s="3">
        <v>790</v>
      </c>
      <c r="M9" s="6" t="str">
        <f ca="1">IFERROR(IF(ProjectTracker[Actual Duration (in days)]=0,"",IF(ABS((ProjectTracker[[#This Row],[Actual Duration (in days)]]-ProjectTracker[[#This Row],[Estimated Duration (in days)]])/ProjectTracker[[#This Row],[Estimated Duration (in days)]])&gt;FlagPercent,1,0)),"")</f>
        <v/>
      </c>
      <c r="N9" s="7">
        <f ca="1">IF(COUNTA('Project Tracker'!$I9,'Project Tracker'!$J9)&lt;&gt;2,"",DAYS360('Project Tracker'!$I9,'Project Tracker'!$J9,FALSE))</f>
        <v>28</v>
      </c>
    </row>
    <row r="10" spans="2:14" ht="15" customHeight="1" x14ac:dyDescent="0.3">
      <c r="B10" s="1" t="s">
        <v>20</v>
      </c>
      <c r="C10" s="1" t="s">
        <v>9</v>
      </c>
      <c r="D10" s="1" t="s">
        <v>3</v>
      </c>
      <c r="E10" s="2">
        <f ca="1">TODAY()-39</f>
        <v>43456</v>
      </c>
      <c r="F10" s="2">
        <f ca="1">TODAY()</f>
        <v>43495</v>
      </c>
      <c r="G10" s="3">
        <v>450</v>
      </c>
      <c r="H10" s="4">
        <f ca="1">IF(COUNTA('Project Tracker'!$E10,'Project Tracker'!$F10)&lt;&gt;2,"",DAYS360('Project Tracker'!$E10,'Project Tracker'!$F10,FALSE))</f>
        <v>38</v>
      </c>
      <c r="I10" s="5">
        <f ca="1">TODAY()-45</f>
        <v>43450</v>
      </c>
      <c r="J10" s="2">
        <f ca="1">TODAY()-5</f>
        <v>43490</v>
      </c>
      <c r="K10" s="6" t="str">
        <f>IFERROR(IF(ProjectTracker[Actual Work (in hours)]=0,"",IF(ABS((ProjectTracker[[#This Row],[Actual Work (in hours)]]-ProjectTracker[[#This Row],[Estimated Work (in hours)]])/ProjectTracker[[#This Row],[Estimated Work (in hours)]])&gt;FlagPercent,1,0)),"")</f>
        <v/>
      </c>
      <c r="L10" s="3">
        <v>430</v>
      </c>
      <c r="M10" s="6" t="str">
        <f ca="1">IFERROR(IF(ProjectTracker[Actual Duration (in days)]=0,"",IF(ABS((ProjectTracker[[#This Row],[Actual Duration (in days)]]-ProjectTracker[[#This Row],[Estimated Duration (in days)]])/ProjectTracker[[#This Row],[Estimated Duration (in days)]])&gt;FlagPercent,1,0)),"")</f>
        <v/>
      </c>
      <c r="N10" s="7">
        <f ca="1">IF(COUNTA('Project Tracker'!$I10,'Project Tracker'!$J10)&lt;&gt;2,"",DAYS360('Project Tracker'!$I10,'Project Tracker'!$J10,FALSE))</f>
        <v>39</v>
      </c>
    </row>
    <row r="11" spans="2:14" ht="15" customHeight="1" x14ac:dyDescent="0.3">
      <c r="B11" s="8" t="s">
        <v>31</v>
      </c>
      <c r="C11" s="8" t="s">
        <v>11</v>
      </c>
      <c r="D11" s="1" t="s">
        <v>3</v>
      </c>
      <c r="E11" s="9">
        <v>42405</v>
      </c>
      <c r="F11" s="9">
        <v>42530</v>
      </c>
      <c r="G11" s="10">
        <v>250</v>
      </c>
      <c r="H11" s="4">
        <f>IF(COUNTA('Project Tracker'!$E11,'Project Tracker'!$F11)&lt;&gt;2,"",DAYS360('Project Tracker'!$E11,'Project Tracker'!$F11,FALSE))</f>
        <v>124</v>
      </c>
      <c r="I11" s="11">
        <v>42434</v>
      </c>
      <c r="J11" s="9">
        <v>42495</v>
      </c>
      <c r="K11" s="12" t="str">
        <f>IFERROR(IF(ProjectTracker[Actual Work (in hours)]=0,"",IF(ABS((ProjectTracker[[#This Row],[Actual Work (in hours)]]-ProjectTracker[[#This Row],[Estimated Work (in hours)]])/ProjectTracker[[#This Row],[Estimated Work (in hours)]])&gt;FlagPercent,1,0)),"")</f>
        <v/>
      </c>
      <c r="L11" s="10">
        <v>200</v>
      </c>
      <c r="M11" s="6" t="str">
        <f>IFERROR(IF(ProjectTracker[Actual Duration (in days)]=0,"",IF(ABS((ProjectTracker[[#This Row],[Actual Duration (in days)]]-ProjectTracker[[#This Row],[Estimated Duration (in days)]])/ProjectTracker[[#This Row],[Estimated Duration (in days)]])&gt;FlagPercent,1,0)),"")</f>
        <v/>
      </c>
      <c r="N11" s="7">
        <f>IF(COUNTA('Project Tracker'!$I11,'Project Tracker'!$J11)&lt;&gt;2,"",DAYS360('Project Tracker'!$I11,'Project Tracker'!$J11,FALSE))</f>
        <v>60</v>
      </c>
    </row>
  </sheetData>
  <mergeCells count="1">
    <mergeCell ref="B1:C1"/>
  </mergeCells>
  <conditionalFormatting sqref="L3:L11">
    <cfRule type="expression" dxfId="16" priority="6">
      <formula>(ABS((L3-G3))/G3)&gt;FlagPercent</formula>
    </cfRule>
  </conditionalFormatting>
  <conditionalFormatting sqref="N3:N11">
    <cfRule type="expression" dxfId="15" priority="8">
      <formula>(ABS((N3-H3))/H3)&gt;FlagPercent</formula>
    </cfRule>
  </conditionalFormatting>
  <dataValidations count="16">
    <dataValidation allowBlank="1" showInputMessage="1" prompt="Enter projects in this project tracker worksheet. Set the percent over/under to flag in D2. Actual work in hours and actual duration in days will highlight over/under values with bold, red font styling and a flag icon in columns K and M " sqref="A1"/>
    <dataValidation type="list" allowBlank="1" showInputMessage="1" showErrorMessage="1" error="Select a category from the list or create a new category to display in this list from the Setup worksheet." sqref="C3:C11">
      <formula1>CategoryList</formula1>
    </dataValidation>
    <dataValidation type="list" allowBlank="1" showInputMessage="1" showErrorMessage="1" error="Select an employee from the list or create a new employee to display in this list from the Setup worksheet." sqref="D3:D11">
      <formula1>EmployeeList</formula1>
    </dataValidation>
    <dataValidation allowBlank="1" showInputMessage="1" showErrorMessage="1" prompt="Enter project names in this column" sqref="B2"/>
    <dataValidation allowBlank="1" showInputMessage="1" showErrorMessage="1" prompt="Select Category name from the dropdown list in each cell in this column. Options in this list are defined in the Setup worksheet. Press ALT+DOWN ARROW to navigate the list, then ENTER to make a selection" sqref="C2"/>
    <dataValidation allowBlank="1" showInputMessage="1" showErrorMessage="1" prompt="Select the Employee name from the dropdown list in each cell in this column. Options are defined in the Setup worksheet. Press ALT+DOWN ARROW to navigate the list, then ENTER to make a selection" sqref="D2"/>
    <dataValidation allowBlank="1" showInputMessage="1" showErrorMessage="1" prompt="Enter the estimated project start date in this column" sqref="E2"/>
    <dataValidation allowBlank="1" showInputMessage="1" showErrorMessage="1" prompt="Enter the estimated project finish date in this column" sqref="F2"/>
    <dataValidation allowBlank="1" showInputMessage="1" showErrorMessage="1" prompt="Enter estimated project work in hours" sqref="G2"/>
    <dataValidation allowBlank="1" showInputMessage="1" showErrorMessage="1" prompt="Enter estimated duration of the project in days in this column" sqref="H2"/>
    <dataValidation allowBlank="1" showInputMessage="1" showErrorMessage="1" prompt="Enter the actual project start date in this column" sqref="I2"/>
    <dataValidation allowBlank="1" showInputMessage="1" showErrorMessage="1" prompt="Enter the actual project finish date in this column" sqref="J2"/>
    <dataValidation allowBlank="1" showInputMessage="1" showErrorMessage="1" prompt="Project Tracker table heading Flag icon for Over/Under Actual Work (in hours). Values in column L that meet the Over/Under criteria generate a flag icon in each cell in this column. Blank cells indicate the values do not meet the Over/Under criteria" sqref="K2"/>
    <dataValidation allowBlank="1" showInputMessage="1" showErrorMessage="1" prompt="Project Tracker table heading Flag icon for Over/Under Actual Duration (in days Values in column N that meet the Over/Under criteria generate a flag icon in each cell in this column. Blank cells indicate the values do not meet the Over/Under criteria" sqref="M2"/>
    <dataValidation allowBlank="1" showInputMessage="1" showErrorMessage="1" prompt="Enter the actual project work in hours. Values that meet the Over/Under criteria are highlighted bold, red and generate a flag icon in column K at left" sqref="L2"/>
    <dataValidation allowBlank="1" showInputMessage="1" showErrorMessage="1" prompt="Enter the actual project duration in days. Values that meet the Over/Under criteria are highlighted bold, red and generate a flag icon in column M at left" sqref="N2"/>
  </dataValidations>
  <printOptions horizontalCentered="1"/>
  <pageMargins left="0.25" right="0.25" top="0.5" bottom="0.5" header="0.3" footer="0.3"/>
  <pageSetup scale="57" fitToHeight="0" orientation="landscape" r:id="rId1"/>
  <headerFooter differentFirst="1">
    <oddFooter>&amp;CPage &amp;P of &amp;N</oddFooter>
  </headerFooter>
  <ignoredErrors>
    <ignoredError sqref="N11 K11"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3" id="{981D7EE4-7E94-41DD-989D-38C05876B668}">
            <x14:iconSet custom="1">
              <x14:cfvo type="percent">
                <xm:f>0</xm:f>
              </x14:cfvo>
              <x14:cfvo type="num">
                <xm:f>0</xm:f>
              </x14:cfvo>
              <x14:cfvo type="num">
                <xm:f>1</xm:f>
              </x14:cfvo>
              <x14:cfIcon iconSet="NoIcons" iconId="0"/>
              <x14:cfIcon iconSet="NoIcons" iconId="0"/>
              <x14:cfIcon iconSet="3Flags" iconId="0"/>
            </x14:iconSet>
          </x14:cfRule>
          <xm:sqref>K3:K11</xm:sqref>
        </x14:conditionalFormatting>
        <x14:conditionalFormatting xmlns:xm="http://schemas.microsoft.com/office/excel/2006/main">
          <x14:cfRule type="iconSet" priority="24" id="{136B1933-ABA4-46F0-A1B3-AE0D99AE777F}">
            <x14:iconSet custom="1">
              <x14:cfvo type="percent">
                <xm:f>0</xm:f>
              </x14:cfvo>
              <x14:cfvo type="num">
                <xm:f>0</xm:f>
              </x14:cfvo>
              <x14:cfvo type="num">
                <xm:f>1</xm:f>
              </x14:cfvo>
              <x14:cfIcon iconSet="NoIcons" iconId="0"/>
              <x14:cfIcon iconSet="NoIcons" iconId="0"/>
              <x14:cfIcon iconSet="3Flags" iconId="0"/>
            </x14:iconSet>
          </x14:cfRule>
          <xm:sqref>M3:M11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Project Tracker</vt:lpstr>
      <vt:lpstr>ColumnTitle1</vt:lpstr>
      <vt:lpstr>'Project Tracker'!Print_Titles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DMurphy</dc:creator>
  <cp:lastModifiedBy>DMurphy</cp:lastModifiedBy>
  <dcterms:created xsi:type="dcterms:W3CDTF">2016-08-03T05:15:41Z</dcterms:created>
  <dcterms:modified xsi:type="dcterms:W3CDTF">2019-01-30T09:56:23Z</dcterms:modified>
</cp:coreProperties>
</file>