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7 Core Excel Practice Tests and Video Solutions\77-727 Exam - Practice Exam 2\"/>
    </mc:Choice>
  </mc:AlternateContent>
  <bookViews>
    <workbookView xWindow="0" yWindow="0" windowWidth="24000" windowHeight="9600" activeTab="1"/>
  </bookViews>
  <sheets>
    <sheet name="2017 Monthly Revenue" sheetId="10" r:id="rId1"/>
    <sheet name="Staff Records" sheetId="12" r:id="rId2"/>
    <sheet name="Profit Forecast" sheetId="8" r:id="rId3"/>
  </sheets>
  <definedNames>
    <definedName name="Advances" localSheetId="0">#REF!</definedName>
    <definedName name="Advances">#REF!</definedName>
    <definedName name="ColumnTitle1" localSheetId="0">#REF!</definedName>
    <definedName name="ColumnTitle1">#REF!</definedName>
    <definedName name="Plan" localSheetId="0">#REF!</definedName>
    <definedName name="Plan">#REF!</definedName>
    <definedName name="Subtotal" localSheetId="0">#REF!</definedName>
    <definedName name="Subtotal">#REF!</definedName>
    <definedName name="test" localSheetId="0">#REF!,#REF!</definedName>
    <definedName name="test">#REF!,#REF!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4" i="10" l="1"/>
  <c r="K14" i="10"/>
  <c r="I14" i="10"/>
  <c r="G14" i="10"/>
  <c r="E14" i="10"/>
  <c r="C14" i="10"/>
  <c r="M13" i="10"/>
  <c r="K13" i="10"/>
  <c r="I13" i="10"/>
  <c r="G13" i="10"/>
  <c r="E13" i="10"/>
  <c r="C13" i="10"/>
  <c r="M12" i="10"/>
  <c r="K12" i="10"/>
  <c r="I12" i="10"/>
  <c r="G12" i="10"/>
  <c r="E12" i="10"/>
  <c r="C12" i="10"/>
  <c r="M11" i="10"/>
  <c r="K11" i="10"/>
  <c r="I11" i="10"/>
  <c r="G11" i="10"/>
  <c r="E11" i="10"/>
  <c r="C11" i="10"/>
  <c r="N11" i="10" s="1"/>
  <c r="M10" i="10"/>
  <c r="K10" i="10"/>
  <c r="I10" i="10"/>
  <c r="G10" i="10"/>
  <c r="E10" i="10"/>
  <c r="C10" i="10"/>
  <c r="M9" i="10"/>
  <c r="K9" i="10"/>
  <c r="I9" i="10"/>
  <c r="G9" i="10"/>
  <c r="E9" i="10"/>
  <c r="C9" i="10"/>
  <c r="M8" i="10"/>
  <c r="K8" i="10"/>
  <c r="I8" i="10"/>
  <c r="G8" i="10"/>
  <c r="E8" i="10"/>
  <c r="C8" i="10"/>
  <c r="N8" i="10" s="1"/>
  <c r="M7" i="10"/>
  <c r="K7" i="10"/>
  <c r="I7" i="10"/>
  <c r="G7" i="10"/>
  <c r="E7" i="10"/>
  <c r="C7" i="10"/>
  <c r="N7" i="10" s="1"/>
  <c r="M6" i="10"/>
  <c r="K6" i="10"/>
  <c r="I6" i="10"/>
  <c r="G6" i="10"/>
  <c r="E6" i="10"/>
  <c r="C6" i="10"/>
  <c r="M5" i="10"/>
  <c r="K5" i="10"/>
  <c r="I5" i="10"/>
  <c r="G5" i="10"/>
  <c r="E5" i="10"/>
  <c r="C5" i="10"/>
  <c r="M4" i="10"/>
  <c r="K4" i="10"/>
  <c r="I4" i="10"/>
  <c r="G4" i="10"/>
  <c r="E4" i="10"/>
  <c r="C4" i="10"/>
  <c r="N4" i="10" s="1"/>
  <c r="M3" i="10"/>
  <c r="K3" i="10"/>
  <c r="I3" i="10"/>
  <c r="G3" i="10"/>
  <c r="E3" i="10"/>
  <c r="C3" i="10"/>
  <c r="N3" i="10" s="1"/>
  <c r="N6" i="10" l="1"/>
  <c r="N15" i="10" s="1"/>
  <c r="N14" i="10"/>
  <c r="N5" i="10"/>
  <c r="N9" i="10"/>
  <c r="N10" i="10"/>
  <c r="N13" i="10"/>
  <c r="N12" i="10"/>
  <c r="G11" i="8"/>
  <c r="F11" i="8"/>
  <c r="E11" i="8"/>
  <c r="D11" i="8"/>
  <c r="C11" i="8"/>
  <c r="B11" i="8"/>
</calcChain>
</file>

<file path=xl/sharedStrings.xml><?xml version="1.0" encoding="utf-8"?>
<sst xmlns="http://schemas.openxmlformats.org/spreadsheetml/2006/main" count="58" uniqueCount="52">
  <si>
    <t>Category/Year</t>
  </si>
  <si>
    <t>Total</t>
  </si>
  <si>
    <t>Profit Forecast (Million Euro) 2017 to 2022</t>
  </si>
  <si>
    <t>Flights</t>
  </si>
  <si>
    <t>Passenger Services</t>
  </si>
  <si>
    <t>In House Entertainment</t>
  </si>
  <si>
    <t>Duty Free</t>
  </si>
  <si>
    <t>Raffle Tickets</t>
  </si>
  <si>
    <t>Car Hire margin</t>
  </si>
  <si>
    <t>Hotel Referrals</t>
  </si>
  <si>
    <t>Arricife</t>
  </si>
  <si>
    <t>Belfast</t>
  </si>
  <si>
    <t>Catania</t>
  </si>
  <si>
    <t>City of London</t>
  </si>
  <si>
    <t>Cork</t>
  </si>
  <si>
    <t>Gatwick</t>
  </si>
  <si>
    <t>Heathrow</t>
  </si>
  <si>
    <t>Milan</t>
  </si>
  <si>
    <t>Padua</t>
  </si>
  <si>
    <t>Rome</t>
  </si>
  <si>
    <t>Monthly Revenue Report 2017</t>
  </si>
  <si>
    <t>Airport</t>
  </si>
  <si>
    <t>Airport Total</t>
  </si>
  <si>
    <t>Dublin</t>
  </si>
  <si>
    <t>London</t>
  </si>
  <si>
    <t>First Name</t>
  </si>
  <si>
    <t>Surname</t>
  </si>
  <si>
    <t>Position</t>
  </si>
  <si>
    <t>Date of Joining</t>
  </si>
  <si>
    <t>Punctuality</t>
  </si>
  <si>
    <t>Manner</t>
  </si>
  <si>
    <t>Promotion</t>
  </si>
  <si>
    <t>daVe</t>
  </si>
  <si>
    <t>Murphy</t>
  </si>
  <si>
    <t>Pilot</t>
  </si>
  <si>
    <t>Excellent</t>
  </si>
  <si>
    <t>For sure</t>
  </si>
  <si>
    <t>Ann</t>
  </si>
  <si>
    <t>BYRne</t>
  </si>
  <si>
    <t>Head Stuart</t>
  </si>
  <si>
    <t>Reasonable</t>
  </si>
  <si>
    <t>To be considered after interview</t>
  </si>
  <si>
    <t>Richard</t>
  </si>
  <si>
    <t>Griffin</t>
  </si>
  <si>
    <t>Maintenance Mechanic</t>
  </si>
  <si>
    <t>Poor</t>
  </si>
  <si>
    <t>Not currently</t>
  </si>
  <si>
    <t>JenniFer</t>
  </si>
  <si>
    <t>RYan</t>
  </si>
  <si>
    <t>Stuart</t>
  </si>
  <si>
    <t>On probation</t>
  </si>
  <si>
    <t>Adjusted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</si>
</sst>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€-2]\ #,##0;[Red][$€-2]\ #,##0"/>
    <numFmt numFmtId="165" formatCode="_-[$€-2]\ * #,##0.00_-;\-[$€-2]\ * #,##0.00_-;_-[$€-2]\ * &quot;-&quot;??_-;_-@_-"/>
    <numFmt numFmtId="166" formatCode="[$€-2]\ #,##0.00;\-[$€-2]\ 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4"/>
      <color theme="1"/>
      <name val="Calibri Light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3" fillId="0" borderId="0" xfId="0" applyFont="1"/>
    <xf numFmtId="0" fontId="4" fillId="0" borderId="1" xfId="0" applyFont="1" applyBorder="1"/>
    <xf numFmtId="164" fontId="0" fillId="0" borderId="1" xfId="0" applyNumberFormat="1" applyBorder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/>
    <xf numFmtId="4" fontId="0" fillId="0" borderId="1" xfId="0" applyNumberFormat="1" applyBorder="1" applyAlignment="1">
      <alignment horizontal="left"/>
    </xf>
    <xf numFmtId="4" fontId="0" fillId="0" borderId="2" xfId="0" applyNumberFormat="1" applyBorder="1" applyAlignment="1">
      <alignment horizontal="left"/>
    </xf>
    <xf numFmtId="166" fontId="0" fillId="0" borderId="1" xfId="0" applyNumberFormat="1" applyBorder="1"/>
    <xf numFmtId="165" fontId="0" fillId="0" borderId="0" xfId="0" applyNumberFormat="1"/>
    <xf numFmtId="0" fontId="0" fillId="0" borderId="0" xfId="0" applyAlignment="1">
      <alignment wrapText="1"/>
    </xf>
    <xf numFmtId="0" fontId="8" fillId="0" borderId="0" xfId="0" applyFont="1" applyAlignment="1">
      <alignment horizontal="left"/>
    </xf>
    <xf numFmtId="0" fontId="7" fillId="2" borderId="3" xfId="0" applyFont="1" applyFill="1" applyBorder="1" applyAlignment="1">
      <alignment wrapText="1"/>
    </xf>
    <xf numFmtId="0" fontId="7" fillId="2" borderId="4" xfId="0" applyFont="1" applyFill="1" applyBorder="1" applyAlignment="1">
      <alignment wrapText="1"/>
    </xf>
    <xf numFmtId="0" fontId="7" fillId="2" borderId="5" xfId="0" applyFont="1" applyFill="1" applyBorder="1" applyAlignment="1">
      <alignment wrapText="1"/>
    </xf>
    <xf numFmtId="0" fontId="0" fillId="3" borderId="6" xfId="0" applyFill="1" applyBorder="1"/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03-4DF5-B017-A47B2D7C2D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03-4DF5-B017-A47B2D7C2D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003-4DF5-B017-A47B2D7C2D9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003-4DF5-B017-A47B2D7C2D9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003-4DF5-B017-A47B2D7C2D9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003-4DF5-B017-A47B2D7C2D9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003-4DF5-B017-A47B2D7C2D9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003-4DF5-B017-A47B2D7C2D9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003-4DF5-B017-A47B2D7C2D9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003-4DF5-B017-A47B2D7C2D9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003-4DF5-B017-A47B2D7C2D9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003-4DF5-B017-A47B2D7C2D97}"/>
              </c:ext>
            </c:extLst>
          </c:dPt>
          <c:cat>
            <c:strRef>
              <c:f>'2017 Monthly Revenue'!$A$3:$A$14</c:f>
              <c:strCache>
                <c:ptCount val="12"/>
                <c:pt idx="0">
                  <c:v>Arricife</c:v>
                </c:pt>
                <c:pt idx="1">
                  <c:v>Dublin</c:v>
                </c:pt>
                <c:pt idx="2">
                  <c:v>London</c:v>
                </c:pt>
                <c:pt idx="3">
                  <c:v>Cork</c:v>
                </c:pt>
                <c:pt idx="4">
                  <c:v>Rome</c:v>
                </c:pt>
                <c:pt idx="5">
                  <c:v>Padua</c:v>
                </c:pt>
                <c:pt idx="6">
                  <c:v>Milan</c:v>
                </c:pt>
                <c:pt idx="7">
                  <c:v>Catania</c:v>
                </c:pt>
                <c:pt idx="8">
                  <c:v>Belfast</c:v>
                </c:pt>
                <c:pt idx="9">
                  <c:v>City of London</c:v>
                </c:pt>
                <c:pt idx="10">
                  <c:v>Gatwick</c:v>
                </c:pt>
                <c:pt idx="11">
                  <c:v>Heathrow</c:v>
                </c:pt>
              </c:strCache>
            </c:strRef>
          </c:cat>
          <c:val>
            <c:numRef>
              <c:f>'2017 Monthly Revenue'!$N$3:$N$14</c:f>
              <c:numCache>
                <c:formatCode>[$€-2]\ #,##0.00;\-[$€-2]\ #,##0.00</c:formatCode>
                <c:ptCount val="12"/>
                <c:pt idx="0">
                  <c:v>1833.3000000000002</c:v>
                </c:pt>
                <c:pt idx="1">
                  <c:v>3065.5200000000004</c:v>
                </c:pt>
                <c:pt idx="2">
                  <c:v>1551.8400000000001</c:v>
                </c:pt>
                <c:pt idx="3">
                  <c:v>419.76</c:v>
                </c:pt>
                <c:pt idx="4">
                  <c:v>3243.6</c:v>
                </c:pt>
                <c:pt idx="5">
                  <c:v>152.63999999999999</c:v>
                </c:pt>
                <c:pt idx="6">
                  <c:v>412.8</c:v>
                </c:pt>
                <c:pt idx="7">
                  <c:v>1844.7</c:v>
                </c:pt>
                <c:pt idx="8">
                  <c:v>2721.9</c:v>
                </c:pt>
                <c:pt idx="9">
                  <c:v>980.39999999999986</c:v>
                </c:pt>
                <c:pt idx="10">
                  <c:v>2154.2999999999997</c:v>
                </c:pt>
                <c:pt idx="11">
                  <c:v>5611.5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A-4B79-BCE3-F20969A3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4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2</xdr:row>
      <xdr:rowOff>0</xdr:rowOff>
    </xdr:from>
    <xdr:to>
      <xdr:col>18</xdr:col>
      <xdr:colOff>158615</xdr:colOff>
      <xdr:row>4</xdr:row>
      <xdr:rowOff>137205</xdr:rowOff>
    </xdr:to>
    <xdr:pic>
      <xdr:nvPicPr>
        <xdr:cNvPr id="3" name="Picture 2" hidden="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06550" y="69532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16</xdr:row>
      <xdr:rowOff>66675</xdr:rowOff>
    </xdr:from>
    <xdr:to>
      <xdr:col>1</xdr:col>
      <xdr:colOff>72890</xdr:colOff>
      <xdr:row>19</xdr:row>
      <xdr:rowOff>13380</xdr:rowOff>
    </xdr:to>
    <xdr:pic macro="[0]!All_Questions_Project5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342900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15</xdr:col>
      <xdr:colOff>9524</xdr:colOff>
      <xdr:row>20</xdr:row>
      <xdr:rowOff>80041</xdr:rowOff>
    </xdr:from>
    <xdr:to>
      <xdr:col>19</xdr:col>
      <xdr:colOff>190499</xdr:colOff>
      <xdr:row>27</xdr:row>
      <xdr:rowOff>123825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0999" y="4204366"/>
          <a:ext cx="2619375" cy="1377284"/>
        </a:xfrm>
        <a:prstGeom prst="rect">
          <a:avLst/>
        </a:prstGeom>
      </xdr:spPr>
    </xdr:pic>
    <xdr:clientData/>
  </xdr:twoCellAnchor>
  <xdr:twoCellAnchor>
    <xdr:from>
      <xdr:col>14</xdr:col>
      <xdr:colOff>609599</xdr:colOff>
      <xdr:row>0</xdr:row>
      <xdr:rowOff>114298</xdr:rowOff>
    </xdr:from>
    <xdr:to>
      <xdr:col>23</xdr:col>
      <xdr:colOff>523874</xdr:colOff>
      <xdr:row>18</xdr:row>
      <xdr:rowOff>47624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142875</xdr:colOff>
      <xdr:row>19</xdr:row>
      <xdr:rowOff>180975</xdr:rowOff>
    </xdr:from>
    <xdr:to>
      <xdr:col>13</xdr:col>
      <xdr:colOff>742950</xdr:colOff>
      <xdr:row>30</xdr:row>
      <xdr:rowOff>85725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114800"/>
          <a:ext cx="10982325" cy="2000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12</xdr:row>
      <xdr:rowOff>28575</xdr:rowOff>
    </xdr:from>
    <xdr:to>
      <xdr:col>1</xdr:col>
      <xdr:colOff>587240</xdr:colOff>
      <xdr:row>14</xdr:row>
      <xdr:rowOff>165780</xdr:rowOff>
    </xdr:to>
    <xdr:pic macro="[0]!All_Questions_Second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507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15</xdr:row>
      <xdr:rowOff>114300</xdr:rowOff>
    </xdr:from>
    <xdr:to>
      <xdr:col>10</xdr:col>
      <xdr:colOff>142875</xdr:colOff>
      <xdr:row>26</xdr:row>
      <xdr:rowOff>19050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3162300"/>
          <a:ext cx="10982325" cy="2000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14</xdr:row>
      <xdr:rowOff>19050</xdr:rowOff>
    </xdr:from>
    <xdr:to>
      <xdr:col>0</xdr:col>
      <xdr:colOff>1415915</xdr:colOff>
      <xdr:row>16</xdr:row>
      <xdr:rowOff>156255</xdr:rowOff>
    </xdr:to>
    <xdr:pic macro="[0]!All_Questions_Third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1940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17</xdr:row>
      <xdr:rowOff>66675</xdr:rowOff>
    </xdr:from>
    <xdr:to>
      <xdr:col>13</xdr:col>
      <xdr:colOff>28575</xdr:colOff>
      <xdr:row>27</xdr:row>
      <xdr:rowOff>161925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438525"/>
          <a:ext cx="10982325" cy="2000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5"/>
  <sheetViews>
    <sheetView workbookViewId="0"/>
  </sheetViews>
  <sheetFormatPr defaultRowHeight="15" x14ac:dyDescent="0.25"/>
  <cols>
    <col min="1" max="1" width="21.28515625" customWidth="1"/>
    <col min="2" max="2" width="13.42578125" customWidth="1"/>
    <col min="3" max="13" width="11" bestFit="1" customWidth="1"/>
    <col min="14" max="14" width="12.140625" bestFit="1" customWidth="1"/>
  </cols>
  <sheetData>
    <row r="1" spans="1:14" ht="30" customHeight="1" x14ac:dyDescent="0.35">
      <c r="A1" s="13" t="s">
        <v>20</v>
      </c>
      <c r="B1" s="13"/>
      <c r="C1" s="13"/>
      <c r="D1" s="13"/>
      <c r="E1" s="6"/>
      <c r="F1" s="4"/>
      <c r="G1" s="4"/>
      <c r="H1" s="4"/>
      <c r="I1" s="4"/>
      <c r="J1" s="4"/>
      <c r="K1" s="4"/>
      <c r="L1" s="4"/>
      <c r="M1" s="4"/>
      <c r="N1" s="4"/>
    </row>
    <row r="2" spans="1:14" ht="24.75" customHeight="1" x14ac:dyDescent="0.25">
      <c r="A2" s="5" t="s">
        <v>21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 t="s">
        <v>22</v>
      </c>
    </row>
    <row r="3" spans="1:14" x14ac:dyDescent="0.25">
      <c r="A3" s="5" t="s">
        <v>10</v>
      </c>
      <c r="B3" s="8">
        <v>143</v>
      </c>
      <c r="C3" s="8">
        <f>B3*1.1</f>
        <v>157.30000000000001</v>
      </c>
      <c r="D3" s="8">
        <v>144</v>
      </c>
      <c r="E3" s="8">
        <f t="shared" ref="E3" si="0">D3*1.1</f>
        <v>158.4</v>
      </c>
      <c r="F3" s="8">
        <v>145</v>
      </c>
      <c r="G3" s="8">
        <f t="shared" ref="G3" si="1">F3*1.1</f>
        <v>159.5</v>
      </c>
      <c r="H3" s="8">
        <v>146</v>
      </c>
      <c r="I3" s="8">
        <f t="shared" ref="I3" si="2">H3*1.1</f>
        <v>160.60000000000002</v>
      </c>
      <c r="J3" s="8">
        <v>147</v>
      </c>
      <c r="K3" s="8">
        <f t="shared" ref="K3" si="3">J3*1.1</f>
        <v>161.70000000000002</v>
      </c>
      <c r="L3" s="8">
        <v>148</v>
      </c>
      <c r="M3" s="9">
        <f t="shared" ref="M3" si="4">L3*1.1</f>
        <v>162.80000000000001</v>
      </c>
      <c r="N3" s="10">
        <f>SUM(B3:M3)</f>
        <v>1833.3000000000002</v>
      </c>
    </row>
    <row r="4" spans="1:14" x14ac:dyDescent="0.25">
      <c r="A4" s="5" t="s">
        <v>23</v>
      </c>
      <c r="B4" s="8">
        <v>241</v>
      </c>
      <c r="C4" s="8">
        <f>B4*1.12</f>
        <v>269.92</v>
      </c>
      <c r="D4" s="8">
        <v>241</v>
      </c>
      <c r="E4" s="8">
        <f t="shared" ref="E4" si="5">D4*1.12</f>
        <v>269.92</v>
      </c>
      <c r="F4" s="8">
        <v>241</v>
      </c>
      <c r="G4" s="8">
        <f t="shared" ref="G4" si="6">F4*1.12</f>
        <v>269.92</v>
      </c>
      <c r="H4" s="8">
        <v>241</v>
      </c>
      <c r="I4" s="8">
        <f t="shared" ref="I4" si="7">H4*1.12</f>
        <v>269.92</v>
      </c>
      <c r="J4" s="8">
        <v>241</v>
      </c>
      <c r="K4" s="8">
        <f t="shared" ref="K4" si="8">J4*1.12</f>
        <v>269.92</v>
      </c>
      <c r="L4" s="8">
        <v>241</v>
      </c>
      <c r="M4" s="9">
        <f t="shared" ref="M4" si="9">L4*1.12</f>
        <v>269.92</v>
      </c>
      <c r="N4" s="10">
        <f t="shared" ref="N4:N14" si="10">SUM(B4:M4)</f>
        <v>3065.5200000000004</v>
      </c>
    </row>
    <row r="5" spans="1:14" x14ac:dyDescent="0.25">
      <c r="A5" s="5" t="s">
        <v>24</v>
      </c>
      <c r="B5" s="8">
        <v>122</v>
      </c>
      <c r="C5" s="8">
        <f t="shared" ref="C5:M8" si="11">B5*1.12</f>
        <v>136.64000000000001</v>
      </c>
      <c r="D5" s="8">
        <v>122</v>
      </c>
      <c r="E5" s="8">
        <f t="shared" si="11"/>
        <v>136.64000000000001</v>
      </c>
      <c r="F5" s="8">
        <v>122</v>
      </c>
      <c r="G5" s="8">
        <f t="shared" si="11"/>
        <v>136.64000000000001</v>
      </c>
      <c r="H5" s="8">
        <v>122</v>
      </c>
      <c r="I5" s="8">
        <f t="shared" si="11"/>
        <v>136.64000000000001</v>
      </c>
      <c r="J5" s="8">
        <v>122</v>
      </c>
      <c r="K5" s="8">
        <f t="shared" si="11"/>
        <v>136.64000000000001</v>
      </c>
      <c r="L5" s="8">
        <v>122</v>
      </c>
      <c r="M5" s="9">
        <f t="shared" si="11"/>
        <v>136.64000000000001</v>
      </c>
      <c r="N5" s="10">
        <f t="shared" si="10"/>
        <v>1551.8400000000001</v>
      </c>
    </row>
    <row r="6" spans="1:14" x14ac:dyDescent="0.25">
      <c r="A6" s="5" t="s">
        <v>14</v>
      </c>
      <c r="B6" s="8">
        <v>33</v>
      </c>
      <c r="C6" s="8">
        <f t="shared" si="11"/>
        <v>36.96</v>
      </c>
      <c r="D6" s="8">
        <v>33</v>
      </c>
      <c r="E6" s="8">
        <f t="shared" si="11"/>
        <v>36.96</v>
      </c>
      <c r="F6" s="8">
        <v>33</v>
      </c>
      <c r="G6" s="8">
        <f t="shared" si="11"/>
        <v>36.96</v>
      </c>
      <c r="H6" s="8">
        <v>33</v>
      </c>
      <c r="I6" s="8">
        <f t="shared" si="11"/>
        <v>36.96</v>
      </c>
      <c r="J6" s="8">
        <v>33</v>
      </c>
      <c r="K6" s="8">
        <f t="shared" si="11"/>
        <v>36.96</v>
      </c>
      <c r="L6" s="8">
        <v>33</v>
      </c>
      <c r="M6" s="9">
        <f t="shared" si="11"/>
        <v>36.96</v>
      </c>
      <c r="N6" s="10">
        <f t="shared" si="10"/>
        <v>419.76</v>
      </c>
    </row>
    <row r="7" spans="1:14" x14ac:dyDescent="0.25">
      <c r="A7" s="5" t="s">
        <v>19</v>
      </c>
      <c r="B7" s="8">
        <v>255</v>
      </c>
      <c r="C7" s="8">
        <f t="shared" si="11"/>
        <v>285.60000000000002</v>
      </c>
      <c r="D7" s="8">
        <v>255</v>
      </c>
      <c r="E7" s="8">
        <f t="shared" si="11"/>
        <v>285.60000000000002</v>
      </c>
      <c r="F7" s="8">
        <v>255</v>
      </c>
      <c r="G7" s="8">
        <f t="shared" si="11"/>
        <v>285.60000000000002</v>
      </c>
      <c r="H7" s="8">
        <v>255</v>
      </c>
      <c r="I7" s="8">
        <f t="shared" si="11"/>
        <v>285.60000000000002</v>
      </c>
      <c r="J7" s="8">
        <v>255</v>
      </c>
      <c r="K7" s="8">
        <f t="shared" si="11"/>
        <v>285.60000000000002</v>
      </c>
      <c r="L7" s="8">
        <v>255</v>
      </c>
      <c r="M7" s="9">
        <f t="shared" si="11"/>
        <v>285.60000000000002</v>
      </c>
      <c r="N7" s="10">
        <f t="shared" si="10"/>
        <v>3243.6</v>
      </c>
    </row>
    <row r="8" spans="1:14" x14ac:dyDescent="0.25">
      <c r="A8" s="5" t="s">
        <v>18</v>
      </c>
      <c r="B8" s="8">
        <v>12</v>
      </c>
      <c r="C8" s="8">
        <f t="shared" si="11"/>
        <v>13.440000000000001</v>
      </c>
      <c r="D8" s="8">
        <v>12</v>
      </c>
      <c r="E8" s="8">
        <f t="shared" si="11"/>
        <v>13.440000000000001</v>
      </c>
      <c r="F8" s="8">
        <v>12</v>
      </c>
      <c r="G8" s="8">
        <f t="shared" si="11"/>
        <v>13.440000000000001</v>
      </c>
      <c r="H8" s="8">
        <v>12</v>
      </c>
      <c r="I8" s="8">
        <f t="shared" si="11"/>
        <v>13.440000000000001</v>
      </c>
      <c r="J8" s="8">
        <v>12</v>
      </c>
      <c r="K8" s="8">
        <f t="shared" si="11"/>
        <v>13.440000000000001</v>
      </c>
      <c r="L8" s="8">
        <v>12</v>
      </c>
      <c r="M8" s="9">
        <f t="shared" si="11"/>
        <v>13.440000000000001</v>
      </c>
      <c r="N8" s="10">
        <f t="shared" si="10"/>
        <v>152.63999999999999</v>
      </c>
    </row>
    <row r="9" spans="1:14" x14ac:dyDescent="0.25">
      <c r="A9" s="5" t="s">
        <v>17</v>
      </c>
      <c r="B9" s="8">
        <v>32</v>
      </c>
      <c r="C9" s="8">
        <f>B9*1.15</f>
        <v>36.799999999999997</v>
      </c>
      <c r="D9" s="8">
        <v>32</v>
      </c>
      <c r="E9" s="8">
        <f t="shared" ref="E9" si="12">D9*1.15</f>
        <v>36.799999999999997</v>
      </c>
      <c r="F9" s="8">
        <v>32</v>
      </c>
      <c r="G9" s="8">
        <f t="shared" ref="G9" si="13">F9*1.15</f>
        <v>36.799999999999997</v>
      </c>
      <c r="H9" s="8">
        <v>32</v>
      </c>
      <c r="I9" s="8">
        <f t="shared" ref="I9" si="14">H9*1.15</f>
        <v>36.799999999999997</v>
      </c>
      <c r="J9" s="8">
        <v>32</v>
      </c>
      <c r="K9" s="8">
        <f t="shared" ref="K9" si="15">J9*1.15</f>
        <v>36.799999999999997</v>
      </c>
      <c r="L9" s="8">
        <v>32</v>
      </c>
      <c r="M9" s="9">
        <f t="shared" ref="M9" si="16">L9*1.15</f>
        <v>36.799999999999997</v>
      </c>
      <c r="N9" s="10">
        <f t="shared" si="10"/>
        <v>412.8</v>
      </c>
    </row>
    <row r="10" spans="1:14" x14ac:dyDescent="0.25">
      <c r="A10" s="5" t="s">
        <v>12</v>
      </c>
      <c r="B10" s="8">
        <v>143</v>
      </c>
      <c r="C10" s="8">
        <f t="shared" ref="C10:M14" si="17">B10*1.15</f>
        <v>164.45</v>
      </c>
      <c r="D10" s="8">
        <v>143</v>
      </c>
      <c r="E10" s="8">
        <f t="shared" si="17"/>
        <v>164.45</v>
      </c>
      <c r="F10" s="8">
        <v>143</v>
      </c>
      <c r="G10" s="8">
        <f t="shared" si="17"/>
        <v>164.45</v>
      </c>
      <c r="H10" s="8">
        <v>143</v>
      </c>
      <c r="I10" s="8">
        <f t="shared" si="17"/>
        <v>164.45</v>
      </c>
      <c r="J10" s="8">
        <v>143</v>
      </c>
      <c r="K10" s="8">
        <f t="shared" si="17"/>
        <v>164.45</v>
      </c>
      <c r="L10" s="8">
        <v>143</v>
      </c>
      <c r="M10" s="9">
        <f t="shared" si="17"/>
        <v>164.45</v>
      </c>
      <c r="N10" s="10">
        <f t="shared" si="10"/>
        <v>1844.7</v>
      </c>
    </row>
    <row r="11" spans="1:14" x14ac:dyDescent="0.25">
      <c r="A11" s="5" t="s">
        <v>11</v>
      </c>
      <c r="B11" s="8">
        <v>211</v>
      </c>
      <c r="C11" s="8">
        <f t="shared" si="17"/>
        <v>242.64999999999998</v>
      </c>
      <c r="D11" s="8">
        <v>211</v>
      </c>
      <c r="E11" s="8">
        <f t="shared" si="17"/>
        <v>242.64999999999998</v>
      </c>
      <c r="F11" s="8">
        <v>211</v>
      </c>
      <c r="G11" s="8">
        <f t="shared" si="17"/>
        <v>242.64999999999998</v>
      </c>
      <c r="H11" s="8">
        <v>211</v>
      </c>
      <c r="I11" s="8">
        <f t="shared" si="17"/>
        <v>242.64999999999998</v>
      </c>
      <c r="J11" s="8">
        <v>211</v>
      </c>
      <c r="K11" s="8">
        <f t="shared" si="17"/>
        <v>242.64999999999998</v>
      </c>
      <c r="L11" s="8">
        <v>211</v>
      </c>
      <c r="M11" s="9">
        <f t="shared" si="17"/>
        <v>242.64999999999998</v>
      </c>
      <c r="N11" s="10">
        <f t="shared" si="10"/>
        <v>2721.9</v>
      </c>
    </row>
    <row r="12" spans="1:14" x14ac:dyDescent="0.25">
      <c r="A12" s="5" t="s">
        <v>13</v>
      </c>
      <c r="B12" s="8">
        <v>76</v>
      </c>
      <c r="C12" s="8">
        <f t="shared" si="17"/>
        <v>87.399999999999991</v>
      </c>
      <c r="D12" s="8">
        <v>76</v>
      </c>
      <c r="E12" s="8">
        <f t="shared" si="17"/>
        <v>87.399999999999991</v>
      </c>
      <c r="F12" s="8">
        <v>76</v>
      </c>
      <c r="G12" s="8">
        <f t="shared" si="17"/>
        <v>87.399999999999991</v>
      </c>
      <c r="H12" s="8">
        <v>76</v>
      </c>
      <c r="I12" s="8">
        <f t="shared" si="17"/>
        <v>87.399999999999991</v>
      </c>
      <c r="J12" s="8">
        <v>76</v>
      </c>
      <c r="K12" s="8">
        <f t="shared" si="17"/>
        <v>87.399999999999991</v>
      </c>
      <c r="L12" s="8">
        <v>76</v>
      </c>
      <c r="M12" s="9">
        <f t="shared" si="17"/>
        <v>87.399999999999991</v>
      </c>
      <c r="N12" s="10">
        <f t="shared" si="10"/>
        <v>980.39999999999986</v>
      </c>
    </row>
    <row r="13" spans="1:14" x14ac:dyDescent="0.25">
      <c r="A13" s="5" t="s">
        <v>15</v>
      </c>
      <c r="B13" s="8">
        <v>167</v>
      </c>
      <c r="C13" s="8">
        <f t="shared" si="17"/>
        <v>192.04999999999998</v>
      </c>
      <c r="D13" s="8">
        <v>167</v>
      </c>
      <c r="E13" s="8">
        <f t="shared" si="17"/>
        <v>192.04999999999998</v>
      </c>
      <c r="F13" s="8">
        <v>167</v>
      </c>
      <c r="G13" s="8">
        <f t="shared" si="17"/>
        <v>192.04999999999998</v>
      </c>
      <c r="H13" s="8">
        <v>167</v>
      </c>
      <c r="I13" s="8">
        <f t="shared" si="17"/>
        <v>192.04999999999998</v>
      </c>
      <c r="J13" s="8">
        <v>167</v>
      </c>
      <c r="K13" s="8">
        <f t="shared" si="17"/>
        <v>192.04999999999998</v>
      </c>
      <c r="L13" s="8">
        <v>167</v>
      </c>
      <c r="M13" s="9">
        <f t="shared" si="17"/>
        <v>192.04999999999998</v>
      </c>
      <c r="N13" s="10">
        <f t="shared" si="10"/>
        <v>2154.2999999999997</v>
      </c>
    </row>
    <row r="14" spans="1:14" x14ac:dyDescent="0.25">
      <c r="A14" s="5" t="s">
        <v>16</v>
      </c>
      <c r="B14" s="8">
        <v>435</v>
      </c>
      <c r="C14" s="8">
        <f t="shared" si="17"/>
        <v>500.24999999999994</v>
      </c>
      <c r="D14" s="8">
        <v>435</v>
      </c>
      <c r="E14" s="8">
        <f t="shared" si="17"/>
        <v>500.24999999999994</v>
      </c>
      <c r="F14" s="8">
        <v>435</v>
      </c>
      <c r="G14" s="8">
        <f t="shared" si="17"/>
        <v>500.24999999999994</v>
      </c>
      <c r="H14" s="8">
        <v>435</v>
      </c>
      <c r="I14" s="8">
        <f t="shared" si="17"/>
        <v>500.24999999999994</v>
      </c>
      <c r="J14" s="8">
        <v>435</v>
      </c>
      <c r="K14" s="8">
        <f t="shared" si="17"/>
        <v>500.24999999999994</v>
      </c>
      <c r="L14" s="8">
        <v>435</v>
      </c>
      <c r="M14" s="9">
        <f t="shared" si="17"/>
        <v>500.24999999999994</v>
      </c>
      <c r="N14" s="10">
        <f t="shared" si="10"/>
        <v>5611.5</v>
      </c>
    </row>
    <row r="15" spans="1:14" x14ac:dyDescent="0.25">
      <c r="A15" s="5" t="s">
        <v>1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0">
        <f>SUM(N3:N14)</f>
        <v>23992.26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"/>
  <sheetViews>
    <sheetView tabSelected="1" workbookViewId="0">
      <selection activeCell="J8" sqref="J8"/>
    </sheetView>
  </sheetViews>
  <sheetFormatPr defaultRowHeight="15" x14ac:dyDescent="0.25"/>
  <cols>
    <col min="1" max="1" width="12.7109375" customWidth="1"/>
    <col min="2" max="2" width="11" customWidth="1"/>
    <col min="3" max="3" width="21.85546875" bestFit="1" customWidth="1"/>
    <col min="4" max="4" width="16.28515625" customWidth="1"/>
    <col min="5" max="5" width="17.28515625" customWidth="1"/>
    <col min="6" max="6" width="19.5703125" customWidth="1"/>
    <col min="7" max="7" width="30.5703125" bestFit="1" customWidth="1"/>
    <col min="8" max="8" width="16.85546875" customWidth="1"/>
  </cols>
  <sheetData>
    <row r="1" spans="1:8" s="12" customFormat="1" x14ac:dyDescent="0.25">
      <c r="A1" s="14" t="s">
        <v>25</v>
      </c>
      <c r="B1" s="15" t="s">
        <v>26</v>
      </c>
      <c r="C1" s="15" t="s">
        <v>27</v>
      </c>
      <c r="D1" s="15" t="s">
        <v>28</v>
      </c>
      <c r="E1" s="15" t="s">
        <v>29</v>
      </c>
      <c r="F1" s="15" t="s">
        <v>30</v>
      </c>
      <c r="G1" s="15" t="s">
        <v>31</v>
      </c>
      <c r="H1" s="16" t="s">
        <v>51</v>
      </c>
    </row>
    <row r="2" spans="1:8" x14ac:dyDescent="0.25">
      <c r="A2" t="s">
        <v>32</v>
      </c>
      <c r="B2" t="s">
        <v>33</v>
      </c>
      <c r="C2" t="s">
        <v>34</v>
      </c>
      <c r="D2">
        <v>19755</v>
      </c>
      <c r="E2" t="s">
        <v>35</v>
      </c>
      <c r="F2" t="s">
        <v>35</v>
      </c>
      <c r="G2" t="s">
        <v>36</v>
      </c>
    </row>
    <row r="3" spans="1:8" x14ac:dyDescent="0.25">
      <c r="A3" t="s">
        <v>37</v>
      </c>
      <c r="B3" t="s">
        <v>38</v>
      </c>
      <c r="C3" t="s">
        <v>39</v>
      </c>
      <c r="D3">
        <v>31888</v>
      </c>
      <c r="E3" t="s">
        <v>40</v>
      </c>
      <c r="F3" t="s">
        <v>40</v>
      </c>
      <c r="G3" t="s">
        <v>41</v>
      </c>
    </row>
    <row r="4" spans="1:8" x14ac:dyDescent="0.25">
      <c r="A4" t="s">
        <v>42</v>
      </c>
      <c r="B4" t="s">
        <v>43</v>
      </c>
      <c r="C4" t="s">
        <v>44</v>
      </c>
      <c r="D4">
        <v>37722</v>
      </c>
      <c r="E4" t="s">
        <v>45</v>
      </c>
      <c r="F4" t="s">
        <v>40</v>
      </c>
      <c r="G4" t="s">
        <v>46</v>
      </c>
    </row>
    <row r="5" spans="1:8" x14ac:dyDescent="0.25">
      <c r="A5" t="s">
        <v>47</v>
      </c>
      <c r="B5" t="s">
        <v>48</v>
      </c>
      <c r="C5" t="s">
        <v>49</v>
      </c>
      <c r="D5">
        <v>43121</v>
      </c>
      <c r="E5" t="s">
        <v>35</v>
      </c>
      <c r="F5" t="s">
        <v>35</v>
      </c>
      <c r="G5" t="s">
        <v>50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8"/>
  <sheetViews>
    <sheetView zoomScaleNormal="100" workbookViewId="0">
      <selection activeCell="P4" sqref="P4"/>
    </sheetView>
  </sheetViews>
  <sheetFormatPr defaultRowHeight="15" x14ac:dyDescent="0.25"/>
  <cols>
    <col min="1" max="2" width="24.28515625" customWidth="1"/>
    <col min="3" max="7" width="11.5703125" customWidth="1"/>
    <col min="12" max="13" width="11.140625" bestFit="1" customWidth="1"/>
  </cols>
  <sheetData>
    <row r="1" spans="1:10" ht="25.5" customHeight="1" x14ac:dyDescent="0.3">
      <c r="A1" s="18" t="s">
        <v>2</v>
      </c>
      <c r="B1" s="18"/>
      <c r="C1" s="18"/>
      <c r="D1" s="18"/>
      <c r="E1" s="18"/>
      <c r="F1" s="18"/>
      <c r="G1" s="18"/>
    </row>
    <row r="3" spans="1:10" ht="15.75" thickBot="1" x14ac:dyDescent="0.3">
      <c r="A3" s="1" t="s">
        <v>0</v>
      </c>
      <c r="B3" s="1">
        <v>2017</v>
      </c>
      <c r="C3" s="1">
        <v>2018</v>
      </c>
      <c r="D3" s="1">
        <v>2019</v>
      </c>
      <c r="E3" s="1">
        <v>2020</v>
      </c>
      <c r="F3" s="1">
        <v>2021</v>
      </c>
      <c r="G3" s="1">
        <v>2022</v>
      </c>
    </row>
    <row r="4" spans="1:10" ht="15.75" thickBot="1" x14ac:dyDescent="0.3">
      <c r="A4" s="2" t="s">
        <v>3</v>
      </c>
      <c r="B4" s="3">
        <v>324</v>
      </c>
      <c r="C4" s="3">
        <v>378</v>
      </c>
      <c r="D4" s="3">
        <v>412</v>
      </c>
      <c r="E4" s="3">
        <v>455</v>
      </c>
      <c r="F4" s="3">
        <v>533</v>
      </c>
      <c r="G4" s="3">
        <v>634</v>
      </c>
      <c r="J4" s="17"/>
    </row>
    <row r="5" spans="1:10" x14ac:dyDescent="0.25">
      <c r="A5" s="2" t="s">
        <v>4</v>
      </c>
      <c r="B5" s="3">
        <v>15</v>
      </c>
      <c r="C5" s="3">
        <v>19</v>
      </c>
      <c r="D5" s="3">
        <v>23</v>
      </c>
      <c r="E5" s="3">
        <v>25</v>
      </c>
      <c r="F5" s="3">
        <v>32</v>
      </c>
      <c r="G5" s="3">
        <v>43</v>
      </c>
    </row>
    <row r="6" spans="1:10" x14ac:dyDescent="0.25">
      <c r="A6" s="2" t="s">
        <v>5</v>
      </c>
      <c r="B6" s="3">
        <v>32</v>
      </c>
      <c r="C6" s="3">
        <v>37</v>
      </c>
      <c r="D6" s="3">
        <v>42</v>
      </c>
      <c r="E6" s="3">
        <v>46</v>
      </c>
      <c r="F6" s="3">
        <v>49</v>
      </c>
      <c r="G6" s="3">
        <v>51</v>
      </c>
    </row>
    <row r="7" spans="1:10" x14ac:dyDescent="0.25">
      <c r="A7" s="2" t="s">
        <v>6</v>
      </c>
      <c r="B7" s="3">
        <v>111</v>
      </c>
      <c r="C7" s="3">
        <v>134</v>
      </c>
      <c r="D7" s="3">
        <v>157</v>
      </c>
      <c r="E7" s="3">
        <v>177</v>
      </c>
      <c r="F7" s="3">
        <v>189</v>
      </c>
      <c r="G7" s="3">
        <v>210</v>
      </c>
    </row>
    <row r="8" spans="1:10" x14ac:dyDescent="0.25">
      <c r="A8" s="2" t="s">
        <v>7</v>
      </c>
      <c r="B8" s="3">
        <v>2</v>
      </c>
      <c r="C8" s="3">
        <v>4</v>
      </c>
      <c r="D8" s="3">
        <v>6</v>
      </c>
      <c r="E8" s="3">
        <v>8</v>
      </c>
      <c r="F8" s="3">
        <v>10</v>
      </c>
      <c r="G8" s="3">
        <v>12</v>
      </c>
    </row>
    <row r="9" spans="1:10" x14ac:dyDescent="0.25">
      <c r="A9" s="2" t="s">
        <v>8</v>
      </c>
      <c r="B9" s="3">
        <v>5</v>
      </c>
      <c r="C9" s="3">
        <v>7</v>
      </c>
      <c r="D9" s="3">
        <v>9</v>
      </c>
      <c r="E9" s="3">
        <v>11</v>
      </c>
      <c r="F9" s="3">
        <v>13</v>
      </c>
      <c r="G9" s="3">
        <v>14</v>
      </c>
    </row>
    <row r="10" spans="1:10" x14ac:dyDescent="0.25">
      <c r="A10" s="2" t="s">
        <v>9</v>
      </c>
      <c r="B10" s="3">
        <v>6</v>
      </c>
      <c r="C10" s="3">
        <v>8</v>
      </c>
      <c r="D10" s="3">
        <v>12</v>
      </c>
      <c r="E10" s="3">
        <v>16</v>
      </c>
      <c r="F10" s="3">
        <v>18</v>
      </c>
      <c r="G10" s="3">
        <v>23</v>
      </c>
    </row>
    <row r="11" spans="1:10" x14ac:dyDescent="0.25">
      <c r="A11" s="2" t="s">
        <v>1</v>
      </c>
      <c r="B11" s="3">
        <f>SUM(B4:B10)</f>
        <v>495</v>
      </c>
      <c r="C11" s="3">
        <f>SUM(C4:C10)</f>
        <v>587</v>
      </c>
      <c r="D11" s="3">
        <f t="shared" ref="D11:G11" si="0">SUM(D4:D10)</f>
        <v>661</v>
      </c>
      <c r="E11" s="3">
        <f t="shared" si="0"/>
        <v>738</v>
      </c>
      <c r="F11" s="3">
        <f t="shared" si="0"/>
        <v>844</v>
      </c>
      <c r="G11" s="3">
        <f t="shared" si="0"/>
        <v>987</v>
      </c>
    </row>
    <row r="38" spans="3:4" x14ac:dyDescent="0.25">
      <c r="C38" s="19"/>
      <c r="D38" s="19"/>
    </row>
  </sheetData>
  <mergeCells count="2">
    <mergeCell ref="A1:G1"/>
    <mergeCell ref="C38:D38"/>
  </mergeCells>
  <conditionalFormatting sqref="G11">
    <cfRule type="cellIs" dxfId="0" priority="1" operator="greaterThan">
      <formula>500000000</formula>
    </cfRule>
  </conditionalFormatting>
  <pageMargins left="0.7" right="0.7" top="0.75" bottom="0.75" header="0.3" footer="0.3"/>
  <pageSetup paperSize="9" scale="86" orientation="landscape" r:id="rId1"/>
  <headerFooter>
    <oddHeader>&amp;L&amp;G</oddHead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 Monthly Revenue</vt:lpstr>
      <vt:lpstr>Staff Records</vt:lpstr>
      <vt:lpstr>Profit Forecast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Murphy, David</dc:creator>
  <cp:lastModifiedBy>DMurphy</cp:lastModifiedBy>
  <cp:lastPrinted>2018-11-29T17:08:06Z</cp:lastPrinted>
  <dcterms:created xsi:type="dcterms:W3CDTF">2018-11-28T14:27:53Z</dcterms:created>
  <dcterms:modified xsi:type="dcterms:W3CDTF">2019-01-30T09:45:24Z</dcterms:modified>
</cp:coreProperties>
</file>