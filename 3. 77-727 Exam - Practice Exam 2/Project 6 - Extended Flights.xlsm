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2\"/>
    </mc:Choice>
  </mc:AlternateContent>
  <bookViews>
    <workbookView xWindow="0" yWindow="0" windowWidth="24000" windowHeight="9600"/>
  </bookViews>
  <sheets>
    <sheet name="Flights" sheetId="9" r:id="rId1"/>
    <sheet name="Marketing Plan Budget" sheetId="7" r:id="rId2"/>
  </sheets>
  <definedNames>
    <definedName name="Advances" localSheetId="0">#REF!</definedName>
    <definedName name="Advances">#REF!</definedName>
    <definedName name="ColumnTitle1" localSheetId="0">#REF!</definedName>
    <definedName name="ColumnTitle1">#REF!</definedName>
    <definedName name="Plan" localSheetId="0">#REF!</definedName>
    <definedName name="Plan">'Marketing Plan Budget'!$C$4:$G$10</definedName>
    <definedName name="_xlnm.Print_Titles" localSheetId="1">'Marketing Plan Budget'!$3:$3</definedName>
    <definedName name="Subtotal" localSheetId="0">#REF!</definedName>
    <definedName name="Subtotal">#REF!</definedName>
    <definedName name="test" localSheetId="0">#REF!,#REF!</definedName>
    <definedName name="test">#REF!,#REF!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7" l="1"/>
  <c r="F11" i="7"/>
  <c r="E11" i="7"/>
  <c r="D11" i="7"/>
  <c r="C11" i="7"/>
  <c r="B11" i="7"/>
</calcChain>
</file>

<file path=xl/comments1.xml><?xml version="1.0" encoding="utf-8"?>
<comments xmlns="http://schemas.openxmlformats.org/spreadsheetml/2006/main">
  <authors>
    <author>DMurphy</author>
  </authors>
  <commentList>
    <comment ref="D2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Very Early Flight!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Tends to flood</t>
        </r>
      </text>
    </comment>
    <comment ref="A55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Susceptible to Fog</t>
        </r>
      </text>
    </comment>
    <comment ref="A86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Warm in January</t>
        </r>
      </text>
    </comment>
  </commentList>
</comments>
</file>

<file path=xl/sharedStrings.xml><?xml version="1.0" encoding="utf-8"?>
<sst xmlns="http://schemas.openxmlformats.org/spreadsheetml/2006/main" count="217" uniqueCount="75">
  <si>
    <t>Marketing Budget 2017 to 2022</t>
  </si>
  <si>
    <t>Category/Year</t>
  </si>
  <si>
    <t>Television Advertising</t>
  </si>
  <si>
    <t>Radio</t>
  </si>
  <si>
    <t>Internet</t>
  </si>
  <si>
    <t>Newspaper Advertising</t>
  </si>
  <si>
    <t>New Brand Launch Parties</t>
  </si>
  <si>
    <t>Aircraft Livery Changes</t>
  </si>
  <si>
    <t>Staff Hires</t>
  </si>
  <si>
    <t>Total</t>
  </si>
  <si>
    <t>Departure Airport</t>
  </si>
  <si>
    <t>Flight #</t>
  </si>
  <si>
    <t>Destination</t>
  </si>
  <si>
    <t>Departure Time</t>
  </si>
  <si>
    <t>Number of Passengers</t>
  </si>
  <si>
    <t>Arricife</t>
  </si>
  <si>
    <t xml:space="preserve">San Salvador (SAL) </t>
  </si>
  <si>
    <t>Belfast</t>
  </si>
  <si>
    <t xml:space="preserve">Bogota (BOG) </t>
  </si>
  <si>
    <t xml:space="preserve">Mexico City (MEX) </t>
  </si>
  <si>
    <t xml:space="preserve">Fort Myers, FL (RSW) </t>
  </si>
  <si>
    <t xml:space="preserve">Panama City (PTY) </t>
  </si>
  <si>
    <t xml:space="preserve">Los Angeles, CA (LAX) </t>
  </si>
  <si>
    <t xml:space="preserve">Puerto Plata (POP) </t>
  </si>
  <si>
    <t xml:space="preserve">Nassau (NAS) </t>
  </si>
  <si>
    <t xml:space="preserve">Orlando, FL (MCO) </t>
  </si>
  <si>
    <t xml:space="preserve">Charlotte, NC (CLT) </t>
  </si>
  <si>
    <t xml:space="preserve">San Francisco, CA (SFO) </t>
  </si>
  <si>
    <t>Catania</t>
  </si>
  <si>
    <t xml:space="preserve">Miami, FL (MIA) </t>
  </si>
  <si>
    <t>City of London</t>
  </si>
  <si>
    <t xml:space="preserve">Georgetown (GEO) </t>
  </si>
  <si>
    <t xml:space="preserve">Santiago (STI) </t>
  </si>
  <si>
    <t xml:space="preserve">Salt Lake City, UT (SLC) </t>
  </si>
  <si>
    <t xml:space="preserve">Kingston (KIN) </t>
  </si>
  <si>
    <t>Cork</t>
  </si>
  <si>
    <t xml:space="preserve">Charlotte Amal (STT) </t>
  </si>
  <si>
    <t xml:space="preserve">Las Vegas, NV (LAS) </t>
  </si>
  <si>
    <t xml:space="preserve">Dublin </t>
  </si>
  <si>
    <t xml:space="preserve">Seoul (ICN) </t>
  </si>
  <si>
    <t xml:space="preserve">New Orleans, LA (MSY) </t>
  </si>
  <si>
    <t xml:space="preserve">Boston, MA (BOS) </t>
  </si>
  <si>
    <t xml:space="preserve">Allentown, PA (ABE) </t>
  </si>
  <si>
    <t>Dublin2</t>
  </si>
  <si>
    <t xml:space="preserve">Santo Domingo (SDQ) </t>
  </si>
  <si>
    <t xml:space="preserve">San Juan (SJU) </t>
  </si>
  <si>
    <t>Gatwick</t>
  </si>
  <si>
    <t>Heathrow</t>
  </si>
  <si>
    <t xml:space="preserve">Atlanta, GA (ATL) </t>
  </si>
  <si>
    <t xml:space="preserve">Montego Bay (MBJ) </t>
  </si>
  <si>
    <t xml:space="preserve">Port-of-Spain (POS) </t>
  </si>
  <si>
    <t xml:space="preserve">Philadelphia, PA (PHL) </t>
  </si>
  <si>
    <t xml:space="preserve">Montreal (YUL) </t>
  </si>
  <si>
    <t xml:space="preserve">West Palm Beach, FL (PBI) </t>
  </si>
  <si>
    <t>Latvia</t>
  </si>
  <si>
    <t xml:space="preserve">Hamilton (YHM) </t>
  </si>
  <si>
    <t>Luton</t>
  </si>
  <si>
    <t xml:space="preserve">Washington, DC (IAD) </t>
  </si>
  <si>
    <t xml:space="preserve">Toronto (YYZ) </t>
  </si>
  <si>
    <t>Milan</t>
  </si>
  <si>
    <t>Padua</t>
  </si>
  <si>
    <t xml:space="preserve">Brussels (BRU) </t>
  </si>
  <si>
    <t xml:space="preserve">Amsterdam (AMS) </t>
  </si>
  <si>
    <t>Rome</t>
  </si>
  <si>
    <t xml:space="preserve">Anchorage, AK (ANC) </t>
  </si>
  <si>
    <t xml:space="preserve">Aguadilla (BQN) </t>
  </si>
  <si>
    <t>Tenerife</t>
  </si>
  <si>
    <t>Wales</t>
  </si>
  <si>
    <t xml:space="preserve">Liege (LGG) </t>
  </si>
  <si>
    <t>2017</t>
  </si>
  <si>
    <t>2018</t>
  </si>
  <si>
    <t>2019</t>
  </si>
  <si>
    <t>2020</t>
  </si>
  <si>
    <t>2021</t>
  </si>
  <si>
    <t>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</si>
</sst>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€-2]\ #,##0.00;[Red][$€-2]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0">
    <xf numFmtId="0" fontId="0" fillId="0" borderId="0" xfId="0"/>
    <xf numFmtId="0" fontId="4" fillId="2" borderId="1" xfId="0" applyFont="1" applyFill="1" applyBorder="1"/>
    <xf numFmtId="164" fontId="0" fillId="2" borderId="1" xfId="0" applyNumberFormat="1" applyFill="1" applyBorder="1"/>
    <xf numFmtId="164" fontId="1" fillId="2" borderId="1" xfId="0" applyNumberFormat="1" applyFont="1" applyFill="1" applyBorder="1"/>
    <xf numFmtId="9" fontId="0" fillId="0" borderId="0" xfId="0" applyNumberFormat="1"/>
    <xf numFmtId="0" fontId="9" fillId="3" borderId="2" xfId="1" applyFont="1" applyFill="1" applyBorder="1"/>
    <xf numFmtId="0" fontId="7" fillId="3" borderId="3" xfId="0" applyFont="1" applyFill="1" applyBorder="1"/>
    <xf numFmtId="0" fontId="7" fillId="3" borderId="4" xfId="0" applyFont="1" applyFill="1" applyBorder="1"/>
    <xf numFmtId="0" fontId="0" fillId="0" borderId="5" xfId="0" applyFont="1" applyBorder="1"/>
    <xf numFmtId="0" fontId="0" fillId="0" borderId="6" xfId="0" applyFont="1" applyBorder="1"/>
    <xf numFmtId="18" fontId="0" fillId="0" borderId="6" xfId="0" applyNumberFormat="1" applyFont="1" applyBorder="1"/>
    <xf numFmtId="0" fontId="0" fillId="0" borderId="7" xfId="0" applyFont="1" applyBorder="1"/>
    <xf numFmtId="0" fontId="10" fillId="4" borderId="8" xfId="0" applyFont="1" applyFill="1" applyBorder="1"/>
    <xf numFmtId="0" fontId="10" fillId="4" borderId="0" xfId="0" applyFont="1" applyFill="1" applyBorder="1"/>
    <xf numFmtId="18" fontId="10" fillId="4" borderId="0" xfId="0" applyNumberFormat="1" applyFont="1" applyFill="1" applyBorder="1"/>
    <xf numFmtId="18" fontId="0" fillId="4" borderId="0" xfId="0" applyNumberFormat="1" applyFont="1" applyFill="1" applyBorder="1"/>
    <xf numFmtId="0" fontId="0" fillId="4" borderId="9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18" fontId="0" fillId="4" borderId="3" xfId="0" applyNumberFormat="1" applyFont="1" applyFill="1" applyBorder="1"/>
    <xf numFmtId="0" fontId="0" fillId="4" borderId="4" xfId="0" applyFont="1" applyFill="1" applyBorder="1"/>
    <xf numFmtId="0" fontId="10" fillId="4" borderId="3" xfId="0" applyFont="1" applyFill="1" applyBorder="1"/>
    <xf numFmtId="18" fontId="10" fillId="4" borderId="3" xfId="0" applyNumberFormat="1" applyFont="1" applyFill="1" applyBorder="1"/>
    <xf numFmtId="0" fontId="0" fillId="0" borderId="2" xfId="0" applyFont="1" applyBorder="1"/>
    <xf numFmtId="0" fontId="10" fillId="0" borderId="3" xfId="0" applyFont="1" applyBorder="1"/>
    <xf numFmtId="18" fontId="10" fillId="0" borderId="3" xfId="0" applyNumberFormat="1" applyFont="1" applyBorder="1"/>
    <xf numFmtId="18" fontId="0" fillId="0" borderId="3" xfId="0" applyNumberFormat="1" applyFont="1" applyBorder="1"/>
    <xf numFmtId="0" fontId="0" fillId="0" borderId="4" xfId="0" applyFont="1" applyBorder="1"/>
    <xf numFmtId="0" fontId="0" fillId="0" borderId="3" xfId="0" applyFont="1" applyBorder="1"/>
    <xf numFmtId="0" fontId="10" fillId="0" borderId="2" xfId="0" applyFont="1" applyBorder="1"/>
    <xf numFmtId="0" fontId="10" fillId="4" borderId="2" xfId="0" applyFont="1" applyFill="1" applyBorder="1"/>
    <xf numFmtId="0" fontId="10" fillId="0" borderId="5" xfId="0" applyFont="1" applyBorder="1"/>
    <xf numFmtId="0" fontId="10" fillId="0" borderId="6" xfId="0" applyFont="1" applyBorder="1"/>
    <xf numFmtId="18" fontId="10" fillId="0" borderId="6" xfId="0" applyNumberFormat="1" applyFont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4" fontId="0" fillId="0" borderId="10" xfId="0" applyNumberFormat="1" applyFont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57150</xdr:colOff>
      <xdr:row>1</xdr:row>
      <xdr:rowOff>0</xdr:rowOff>
    </xdr:from>
    <xdr:to>
      <xdr:col>12</xdr:col>
      <xdr:colOff>215765</xdr:colOff>
      <xdr:row>3</xdr:row>
      <xdr:rowOff>137205</xdr:rowOff>
    </xdr:to>
    <xdr:pic macro="[0]!All_Questions_Project6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1905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4</xdr:row>
      <xdr:rowOff>184856</xdr:rowOff>
    </xdr:from>
    <xdr:to>
      <xdr:col>25</xdr:col>
      <xdr:colOff>381000</xdr:colOff>
      <xdr:row>22</xdr:row>
      <xdr:rowOff>6257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01350" y="946856"/>
          <a:ext cx="9505950" cy="21264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13</xdr:row>
      <xdr:rowOff>76200</xdr:rowOff>
    </xdr:from>
    <xdr:to>
      <xdr:col>0</xdr:col>
      <xdr:colOff>1482590</xdr:colOff>
      <xdr:row>16</xdr:row>
      <xdr:rowOff>22905</xdr:rowOff>
    </xdr:to>
    <xdr:pic macro="[0]!All_Questions_Nex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6955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17</xdr:row>
      <xdr:rowOff>38100</xdr:rowOff>
    </xdr:from>
    <xdr:to>
      <xdr:col>14</xdr:col>
      <xdr:colOff>133351</xdr:colOff>
      <xdr:row>27</xdr:row>
      <xdr:rowOff>139858</xdr:rowOff>
    </xdr:to>
    <xdr:pic>
      <xdr:nvPicPr>
        <xdr:cNvPr id="114" name="Picture 11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3419475"/>
          <a:ext cx="12601576" cy="20067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</xdr:colOff>
      <xdr:row>16</xdr:row>
      <xdr:rowOff>114300</xdr:rowOff>
    </xdr:from>
    <xdr:to>
      <xdr:col>12</xdr:col>
      <xdr:colOff>9525</xdr:colOff>
      <xdr:row>27</xdr:row>
      <xdr:rowOff>171450</xdr:rowOff>
    </xdr:to>
    <xdr:sp macro="" textlink="">
      <xdr:nvSpPr>
        <xdr:cNvPr id="13313" name="AutoShape 1"/>
        <xdr:cNvSpPr>
          <a:spLocks noChangeAspect="1" noChangeArrowheads="1"/>
        </xdr:cNvSpPr>
      </xdr:nvSpPr>
      <xdr:spPr bwMode="auto">
        <a:xfrm>
          <a:off x="142875" y="3305175"/>
          <a:ext cx="10982325" cy="2152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iaa.ie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99"/>
  <sheetViews>
    <sheetView tabSelected="1" workbookViewId="0">
      <selection activeCell="W29" sqref="W29"/>
    </sheetView>
  </sheetViews>
  <sheetFormatPr defaultRowHeight="15" x14ac:dyDescent="0.25"/>
  <cols>
    <col min="1" max="1" width="33.7109375" customWidth="1"/>
    <col min="2" max="2" width="9.5703125" customWidth="1"/>
    <col min="3" max="3" width="27.7109375" bestFit="1" customWidth="1"/>
    <col min="4" max="4" width="17" customWidth="1"/>
    <col min="5" max="5" width="23" customWidth="1"/>
    <col min="8" max="8" width="14.140625" customWidth="1"/>
  </cols>
  <sheetData>
    <row r="1" spans="1:5" x14ac:dyDescent="0.25">
      <c r="A1" s="5" t="s">
        <v>10</v>
      </c>
      <c r="B1" s="6" t="s">
        <v>11</v>
      </c>
      <c r="C1" s="6" t="s">
        <v>12</v>
      </c>
      <c r="D1" s="6" t="s">
        <v>13</v>
      </c>
      <c r="E1" s="7" t="s">
        <v>14</v>
      </c>
    </row>
    <row r="2" spans="1:5" x14ac:dyDescent="0.25">
      <c r="A2" s="8" t="s">
        <v>15</v>
      </c>
      <c r="B2" s="9">
        <v>5317</v>
      </c>
      <c r="C2" s="9" t="s">
        <v>16</v>
      </c>
      <c r="D2" s="10">
        <v>0.19583333333333333</v>
      </c>
      <c r="E2" s="11">
        <v>78</v>
      </c>
    </row>
    <row r="3" spans="1:5" x14ac:dyDescent="0.25">
      <c r="A3" s="12" t="s">
        <v>17</v>
      </c>
      <c r="B3" s="13">
        <v>285</v>
      </c>
      <c r="C3" s="14" t="s">
        <v>18</v>
      </c>
      <c r="D3" s="15">
        <v>3.8194444444444441E-2</v>
      </c>
      <c r="E3" s="16">
        <v>165</v>
      </c>
    </row>
    <row r="4" spans="1:5" x14ac:dyDescent="0.25">
      <c r="A4" s="17" t="s">
        <v>17</v>
      </c>
      <c r="B4" s="18">
        <v>1</v>
      </c>
      <c r="C4" s="19" t="s">
        <v>19</v>
      </c>
      <c r="D4" s="19">
        <v>3.8194444444444441E-2</v>
      </c>
      <c r="E4" s="20">
        <v>245</v>
      </c>
    </row>
    <row r="5" spans="1:5" ht="16.5" customHeight="1" x14ac:dyDescent="0.25">
      <c r="A5" s="17" t="s">
        <v>17</v>
      </c>
      <c r="B5" s="21">
        <v>135</v>
      </c>
      <c r="C5" s="22" t="s">
        <v>20</v>
      </c>
      <c r="D5" s="19">
        <v>0.25416666666666665</v>
      </c>
      <c r="E5" s="20">
        <v>323</v>
      </c>
    </row>
    <row r="6" spans="1:5" x14ac:dyDescent="0.25">
      <c r="A6" s="23" t="s">
        <v>17</v>
      </c>
      <c r="B6" s="24">
        <v>9079</v>
      </c>
      <c r="C6" s="25" t="s">
        <v>21</v>
      </c>
      <c r="D6" s="26">
        <v>0.25486111111111109</v>
      </c>
      <c r="E6" s="27">
        <v>245</v>
      </c>
    </row>
    <row r="7" spans="1:5" x14ac:dyDescent="0.25">
      <c r="A7" s="17" t="s">
        <v>17</v>
      </c>
      <c r="B7" s="21">
        <v>803</v>
      </c>
      <c r="C7" s="22" t="s">
        <v>21</v>
      </c>
      <c r="D7" s="19">
        <v>0.25486111111111109</v>
      </c>
      <c r="E7" s="20">
        <v>65</v>
      </c>
    </row>
    <row r="8" spans="1:5" x14ac:dyDescent="0.25">
      <c r="A8" s="23" t="s">
        <v>17</v>
      </c>
      <c r="B8" s="24">
        <v>201</v>
      </c>
      <c r="C8" s="25" t="s">
        <v>22</v>
      </c>
      <c r="D8" s="26">
        <v>0.27083333333333331</v>
      </c>
      <c r="E8" s="27">
        <v>245</v>
      </c>
    </row>
    <row r="9" spans="1:5" x14ac:dyDescent="0.25">
      <c r="A9" s="17" t="s">
        <v>17</v>
      </c>
      <c r="B9" s="21">
        <v>8802</v>
      </c>
      <c r="C9" s="22" t="s">
        <v>22</v>
      </c>
      <c r="D9" s="19">
        <v>0.27083333333333331</v>
      </c>
      <c r="E9" s="20">
        <v>65</v>
      </c>
    </row>
    <row r="10" spans="1:5" x14ac:dyDescent="0.25">
      <c r="A10" s="17" t="s">
        <v>17</v>
      </c>
      <c r="B10" s="18">
        <v>7066</v>
      </c>
      <c r="C10" s="18" t="s">
        <v>22</v>
      </c>
      <c r="D10" s="19">
        <v>0.27430555555555552</v>
      </c>
      <c r="E10" s="20">
        <v>222</v>
      </c>
    </row>
    <row r="11" spans="1:5" x14ac:dyDescent="0.25">
      <c r="A11" s="23" t="s">
        <v>17</v>
      </c>
      <c r="B11" s="28">
        <v>811</v>
      </c>
      <c r="C11" s="26" t="s">
        <v>23</v>
      </c>
      <c r="D11" s="26">
        <v>0.27777777777777779</v>
      </c>
      <c r="E11" s="27">
        <v>245</v>
      </c>
    </row>
    <row r="12" spans="1:5" x14ac:dyDescent="0.25">
      <c r="A12" s="17" t="s">
        <v>17</v>
      </c>
      <c r="B12" s="21">
        <v>719</v>
      </c>
      <c r="C12" s="22" t="s">
        <v>24</v>
      </c>
      <c r="D12" s="19">
        <v>0.28819444444444448</v>
      </c>
      <c r="E12" s="20">
        <v>245</v>
      </c>
    </row>
    <row r="13" spans="1:5" x14ac:dyDescent="0.25">
      <c r="A13" s="18" t="s">
        <v>17</v>
      </c>
      <c r="B13" s="21">
        <v>147</v>
      </c>
      <c r="C13" s="22" t="s">
        <v>25</v>
      </c>
      <c r="D13" s="19">
        <v>0.30555555555555552</v>
      </c>
      <c r="E13" s="18">
        <v>121</v>
      </c>
    </row>
    <row r="14" spans="1:5" hidden="1" x14ac:dyDescent="0.25">
      <c r="A14" s="18" t="s">
        <v>17</v>
      </c>
      <c r="B14" s="18">
        <v>1081</v>
      </c>
      <c r="C14" s="19" t="s">
        <v>26</v>
      </c>
      <c r="D14" s="19">
        <v>0.31180555555555556</v>
      </c>
      <c r="E14" s="18">
        <v>23</v>
      </c>
    </row>
    <row r="15" spans="1:5" hidden="1" x14ac:dyDescent="0.25">
      <c r="A15" s="28" t="s">
        <v>17</v>
      </c>
      <c r="B15" s="24">
        <v>1279</v>
      </c>
      <c r="C15" s="25" t="s">
        <v>27</v>
      </c>
      <c r="D15" s="26">
        <v>0.3125</v>
      </c>
      <c r="E15" s="28">
        <v>45</v>
      </c>
    </row>
    <row r="16" spans="1:5" hidden="1" x14ac:dyDescent="0.25">
      <c r="A16" s="28" t="s">
        <v>17</v>
      </c>
      <c r="B16" s="24">
        <v>5863</v>
      </c>
      <c r="C16" s="25" t="s">
        <v>27</v>
      </c>
      <c r="D16" s="26">
        <v>0.3125</v>
      </c>
      <c r="E16" s="28">
        <v>56</v>
      </c>
    </row>
    <row r="17" spans="1:5" hidden="1" x14ac:dyDescent="0.25">
      <c r="A17" s="17" t="s">
        <v>17</v>
      </c>
      <c r="B17" s="18">
        <v>3074</v>
      </c>
      <c r="C17" s="19" t="s">
        <v>27</v>
      </c>
      <c r="D17" s="19">
        <v>0.3125</v>
      </c>
      <c r="E17" s="20">
        <v>23</v>
      </c>
    </row>
    <row r="18" spans="1:5" hidden="1" x14ac:dyDescent="0.25">
      <c r="A18" s="29" t="s">
        <v>28</v>
      </c>
      <c r="B18" s="24">
        <v>6870</v>
      </c>
      <c r="C18" s="25" t="s">
        <v>18</v>
      </c>
      <c r="D18" s="26">
        <v>3.8194444444444441E-2</v>
      </c>
      <c r="E18" s="27">
        <v>323</v>
      </c>
    </row>
    <row r="19" spans="1:5" hidden="1" x14ac:dyDescent="0.25">
      <c r="A19" s="30" t="s">
        <v>28</v>
      </c>
      <c r="B19" s="18">
        <v>4933</v>
      </c>
      <c r="C19" s="18" t="s">
        <v>16</v>
      </c>
      <c r="D19" s="19">
        <v>0.19583333333333333</v>
      </c>
      <c r="E19" s="20">
        <v>39</v>
      </c>
    </row>
    <row r="20" spans="1:5" x14ac:dyDescent="0.25">
      <c r="A20" s="29" t="s">
        <v>28</v>
      </c>
      <c r="B20" s="24">
        <v>6053</v>
      </c>
      <c r="C20" s="25" t="s">
        <v>22</v>
      </c>
      <c r="D20" s="26">
        <v>0.29166666666666669</v>
      </c>
      <c r="E20" s="27">
        <v>65</v>
      </c>
    </row>
    <row r="21" spans="1:5" x14ac:dyDescent="0.25">
      <c r="A21" s="29" t="s">
        <v>28</v>
      </c>
      <c r="B21" s="24">
        <v>1277</v>
      </c>
      <c r="C21" s="25" t="s">
        <v>29</v>
      </c>
      <c r="D21" s="26">
        <v>0.29166666666666669</v>
      </c>
      <c r="E21" s="27">
        <v>65</v>
      </c>
    </row>
    <row r="22" spans="1:5" x14ac:dyDescent="0.25">
      <c r="A22" s="30" t="s">
        <v>28</v>
      </c>
      <c r="B22" s="21">
        <v>2965</v>
      </c>
      <c r="C22" s="22" t="s">
        <v>27</v>
      </c>
      <c r="D22" s="19">
        <v>0.29166666666666669</v>
      </c>
      <c r="E22" s="20">
        <v>65</v>
      </c>
    </row>
    <row r="23" spans="1:5" x14ac:dyDescent="0.25">
      <c r="A23" s="30" t="s">
        <v>30</v>
      </c>
      <c r="B23" s="21">
        <v>383</v>
      </c>
      <c r="C23" s="22" t="s">
        <v>31</v>
      </c>
      <c r="D23" s="19">
        <v>4.8611111111111112E-2</v>
      </c>
      <c r="E23" s="20">
        <v>43</v>
      </c>
    </row>
    <row r="24" spans="1:5" x14ac:dyDescent="0.25">
      <c r="A24" s="29" t="s">
        <v>30</v>
      </c>
      <c r="B24" s="24">
        <v>833</v>
      </c>
      <c r="C24" s="25" t="s">
        <v>32</v>
      </c>
      <c r="D24" s="26">
        <v>0.28819444444444448</v>
      </c>
      <c r="E24" s="27">
        <v>43</v>
      </c>
    </row>
    <row r="25" spans="1:5" x14ac:dyDescent="0.25">
      <c r="A25" s="29" t="s">
        <v>30</v>
      </c>
      <c r="B25" s="24">
        <v>6107</v>
      </c>
      <c r="C25" s="25" t="s">
        <v>33</v>
      </c>
      <c r="D25" s="26">
        <v>0.29166666666666669</v>
      </c>
      <c r="E25" s="27">
        <v>78</v>
      </c>
    </row>
    <row r="26" spans="1:5" x14ac:dyDescent="0.25">
      <c r="A26" s="29" t="s">
        <v>30</v>
      </c>
      <c r="B26" s="24">
        <v>2663</v>
      </c>
      <c r="C26" s="25" t="s">
        <v>22</v>
      </c>
      <c r="D26" s="26">
        <v>0.29166666666666669</v>
      </c>
      <c r="E26" s="27">
        <v>245</v>
      </c>
    </row>
    <row r="27" spans="1:5" x14ac:dyDescent="0.25">
      <c r="A27" s="29" t="s">
        <v>30</v>
      </c>
      <c r="B27" s="24">
        <v>8194</v>
      </c>
      <c r="C27" s="25" t="s">
        <v>29</v>
      </c>
      <c r="D27" s="26">
        <v>0.29166666666666669</v>
      </c>
      <c r="E27" s="27">
        <v>78</v>
      </c>
    </row>
    <row r="28" spans="1:5" x14ac:dyDescent="0.25">
      <c r="A28" s="29" t="s">
        <v>30</v>
      </c>
      <c r="B28" s="28">
        <v>867</v>
      </c>
      <c r="C28" s="26" t="s">
        <v>34</v>
      </c>
      <c r="D28" s="26">
        <v>0.31180555555555556</v>
      </c>
      <c r="E28" s="27">
        <v>65</v>
      </c>
    </row>
    <row r="29" spans="1:5" x14ac:dyDescent="0.25">
      <c r="A29" s="30" t="s">
        <v>30</v>
      </c>
      <c r="B29" s="21">
        <v>8018</v>
      </c>
      <c r="C29" s="22" t="s">
        <v>27</v>
      </c>
      <c r="D29" s="19">
        <v>0.3125</v>
      </c>
      <c r="E29" s="20">
        <v>45</v>
      </c>
    </row>
    <row r="30" spans="1:5" x14ac:dyDescent="0.25">
      <c r="A30" s="30" t="s">
        <v>30</v>
      </c>
      <c r="B30" s="18">
        <v>3096</v>
      </c>
      <c r="C30" s="19" t="s">
        <v>22</v>
      </c>
      <c r="D30" s="19">
        <v>0.31597222222222221</v>
      </c>
      <c r="E30" s="20">
        <v>121</v>
      </c>
    </row>
    <row r="31" spans="1:5" x14ac:dyDescent="0.25">
      <c r="A31" s="30" t="s">
        <v>35</v>
      </c>
      <c r="B31" s="21">
        <v>655</v>
      </c>
      <c r="C31" s="22" t="s">
        <v>36</v>
      </c>
      <c r="D31" s="19">
        <v>0.29166666666666669</v>
      </c>
      <c r="E31" s="20">
        <v>245</v>
      </c>
    </row>
    <row r="32" spans="1:5" x14ac:dyDescent="0.25">
      <c r="A32" s="30" t="s">
        <v>35</v>
      </c>
      <c r="B32" s="21">
        <v>1103</v>
      </c>
      <c r="C32" s="22" t="s">
        <v>33</v>
      </c>
      <c r="D32" s="19">
        <v>0.29166666666666669</v>
      </c>
      <c r="E32" s="20">
        <v>43</v>
      </c>
    </row>
    <row r="33" spans="1:5" x14ac:dyDescent="0.25">
      <c r="A33" s="30" t="s">
        <v>35</v>
      </c>
      <c r="B33" s="21">
        <v>187</v>
      </c>
      <c r="C33" s="22" t="s">
        <v>37</v>
      </c>
      <c r="D33" s="19">
        <v>0.29166666666666669</v>
      </c>
      <c r="E33" s="20">
        <v>39</v>
      </c>
    </row>
    <row r="34" spans="1:5" x14ac:dyDescent="0.25">
      <c r="A34" s="30" t="s">
        <v>35</v>
      </c>
      <c r="B34" s="21">
        <v>59</v>
      </c>
      <c r="C34" s="22" t="s">
        <v>27</v>
      </c>
      <c r="D34" s="19">
        <v>0.3125</v>
      </c>
      <c r="E34" s="20">
        <v>67</v>
      </c>
    </row>
    <row r="35" spans="1:5" x14ac:dyDescent="0.25">
      <c r="A35" s="29" t="s">
        <v>35</v>
      </c>
      <c r="B35" s="24">
        <v>33</v>
      </c>
      <c r="C35" s="25" t="s">
        <v>22</v>
      </c>
      <c r="D35" s="26">
        <v>0.31597222222222221</v>
      </c>
      <c r="E35" s="27">
        <v>324</v>
      </c>
    </row>
    <row r="36" spans="1:5" x14ac:dyDescent="0.25">
      <c r="A36" s="17" t="s">
        <v>38</v>
      </c>
      <c r="B36" s="18">
        <v>86</v>
      </c>
      <c r="C36" s="19" t="s">
        <v>39</v>
      </c>
      <c r="D36" s="19">
        <v>3.4722222222222224E-2</v>
      </c>
      <c r="E36" s="20">
        <v>65</v>
      </c>
    </row>
    <row r="37" spans="1:5" x14ac:dyDescent="0.25">
      <c r="A37" s="29" t="s">
        <v>38</v>
      </c>
      <c r="B37" s="24">
        <v>1229</v>
      </c>
      <c r="C37" s="25" t="s">
        <v>29</v>
      </c>
      <c r="D37" s="26">
        <v>0.22916666666666666</v>
      </c>
      <c r="E37" s="27">
        <v>97</v>
      </c>
    </row>
    <row r="38" spans="1:5" x14ac:dyDescent="0.25">
      <c r="A38" s="30" t="s">
        <v>38</v>
      </c>
      <c r="B38" s="21">
        <v>16</v>
      </c>
      <c r="C38" s="22" t="s">
        <v>34</v>
      </c>
      <c r="D38" s="19">
        <v>0.25</v>
      </c>
      <c r="E38" s="20">
        <v>432</v>
      </c>
    </row>
    <row r="39" spans="1:5" x14ac:dyDescent="0.25">
      <c r="A39" s="29" t="s">
        <v>38</v>
      </c>
      <c r="B39" s="28">
        <v>893</v>
      </c>
      <c r="C39" s="28" t="s">
        <v>27</v>
      </c>
      <c r="D39" s="26">
        <v>0.25</v>
      </c>
      <c r="E39" s="27">
        <v>68</v>
      </c>
    </row>
    <row r="40" spans="1:5" x14ac:dyDescent="0.25">
      <c r="A40" s="29" t="s">
        <v>38</v>
      </c>
      <c r="B40" s="24">
        <v>8032</v>
      </c>
      <c r="C40" s="25" t="s">
        <v>22</v>
      </c>
      <c r="D40" s="26">
        <v>0.27083333333333331</v>
      </c>
      <c r="E40" s="27">
        <v>43</v>
      </c>
    </row>
    <row r="41" spans="1:5" x14ac:dyDescent="0.25">
      <c r="A41" s="30" t="s">
        <v>38</v>
      </c>
      <c r="B41" s="18">
        <v>3115</v>
      </c>
      <c r="C41" s="18" t="s">
        <v>26</v>
      </c>
      <c r="D41" s="19">
        <v>0.2722222222222222</v>
      </c>
      <c r="E41" s="20">
        <v>132</v>
      </c>
    </row>
    <row r="42" spans="1:5" x14ac:dyDescent="0.25">
      <c r="A42" s="29" t="s">
        <v>38</v>
      </c>
      <c r="B42" s="28">
        <v>891</v>
      </c>
      <c r="C42" s="28" t="s">
        <v>22</v>
      </c>
      <c r="D42" s="26">
        <v>0.27430555555555552</v>
      </c>
      <c r="E42" s="27">
        <v>23</v>
      </c>
    </row>
    <row r="43" spans="1:5" x14ac:dyDescent="0.25">
      <c r="A43" s="30" t="s">
        <v>38</v>
      </c>
      <c r="B43" s="21">
        <v>117</v>
      </c>
      <c r="C43" s="22" t="s">
        <v>40</v>
      </c>
      <c r="D43" s="19">
        <v>0.28402777777777777</v>
      </c>
      <c r="E43" s="20">
        <v>65</v>
      </c>
    </row>
    <row r="44" spans="1:5" x14ac:dyDescent="0.25">
      <c r="A44" s="30" t="s">
        <v>38</v>
      </c>
      <c r="B44" s="21">
        <v>6067</v>
      </c>
      <c r="C44" s="22" t="s">
        <v>27</v>
      </c>
      <c r="D44" s="19">
        <v>0.29166666666666669</v>
      </c>
      <c r="E44" s="20">
        <v>43</v>
      </c>
    </row>
    <row r="45" spans="1:5" x14ac:dyDescent="0.25">
      <c r="A45" s="30" t="s">
        <v>38</v>
      </c>
      <c r="B45" s="18">
        <v>5790</v>
      </c>
      <c r="C45" s="19" t="s">
        <v>27</v>
      </c>
      <c r="D45" s="19">
        <v>0.29166666666666669</v>
      </c>
      <c r="E45" s="20">
        <v>324</v>
      </c>
    </row>
    <row r="46" spans="1:5" x14ac:dyDescent="0.25">
      <c r="A46" s="29" t="s">
        <v>38</v>
      </c>
      <c r="B46" s="28">
        <v>11</v>
      </c>
      <c r="C46" s="28" t="s">
        <v>27</v>
      </c>
      <c r="D46" s="26">
        <v>0.29166666666666669</v>
      </c>
      <c r="E46" s="27">
        <v>222</v>
      </c>
    </row>
    <row r="47" spans="1:5" x14ac:dyDescent="0.25">
      <c r="A47" s="29" t="s">
        <v>38</v>
      </c>
      <c r="B47" s="28">
        <v>1004</v>
      </c>
      <c r="C47" s="26" t="s">
        <v>41</v>
      </c>
      <c r="D47" s="26">
        <v>0.29791666666666666</v>
      </c>
      <c r="E47" s="27">
        <v>65</v>
      </c>
    </row>
    <row r="48" spans="1:5" x14ac:dyDescent="0.25">
      <c r="A48" s="29" t="s">
        <v>38</v>
      </c>
      <c r="B48" s="24">
        <v>549</v>
      </c>
      <c r="C48" s="25" t="s">
        <v>32</v>
      </c>
      <c r="D48" s="26">
        <v>0.2986111111111111</v>
      </c>
      <c r="E48" s="27">
        <v>132</v>
      </c>
    </row>
    <row r="49" spans="1:5" x14ac:dyDescent="0.25">
      <c r="A49" s="29" t="s">
        <v>38</v>
      </c>
      <c r="B49" s="28">
        <v>660</v>
      </c>
      <c r="C49" s="28" t="s">
        <v>42</v>
      </c>
      <c r="D49" s="26">
        <v>0.30208333333333331</v>
      </c>
      <c r="E49" s="27">
        <v>222</v>
      </c>
    </row>
    <row r="50" spans="1:5" x14ac:dyDescent="0.25">
      <c r="A50" s="30" t="s">
        <v>43</v>
      </c>
      <c r="B50" s="21">
        <v>221</v>
      </c>
      <c r="C50" s="22" t="s">
        <v>39</v>
      </c>
      <c r="D50" s="19">
        <v>2.0833333333333332E-2</v>
      </c>
      <c r="E50" s="20">
        <v>132</v>
      </c>
    </row>
    <row r="51" spans="1:5" ht="18.75" customHeight="1" x14ac:dyDescent="0.25">
      <c r="A51" s="30" t="s">
        <v>43</v>
      </c>
      <c r="B51" s="18">
        <v>819</v>
      </c>
      <c r="C51" s="19" t="s">
        <v>44</v>
      </c>
      <c r="D51" s="19">
        <v>0.23958333333333334</v>
      </c>
      <c r="E51" s="20">
        <v>311</v>
      </c>
    </row>
    <row r="52" spans="1:5" x14ac:dyDescent="0.25">
      <c r="A52" s="29" t="s">
        <v>43</v>
      </c>
      <c r="B52" s="24">
        <v>709</v>
      </c>
      <c r="C52" s="25" t="s">
        <v>45</v>
      </c>
      <c r="D52" s="26">
        <v>0.25</v>
      </c>
      <c r="E52" s="27">
        <v>345</v>
      </c>
    </row>
    <row r="53" spans="1:5" x14ac:dyDescent="0.25">
      <c r="A53" s="23" t="s">
        <v>46</v>
      </c>
      <c r="B53" s="28">
        <v>1069</v>
      </c>
      <c r="C53" s="28" t="s">
        <v>39</v>
      </c>
      <c r="D53" s="26">
        <v>2.0833333333333332E-2</v>
      </c>
      <c r="E53" s="27">
        <v>324</v>
      </c>
    </row>
    <row r="54" spans="1:5" x14ac:dyDescent="0.25">
      <c r="A54" s="29" t="s">
        <v>46</v>
      </c>
      <c r="B54" s="24">
        <v>8297</v>
      </c>
      <c r="C54" s="25" t="s">
        <v>19</v>
      </c>
      <c r="D54" s="26">
        <v>3.8194444444444441E-2</v>
      </c>
      <c r="E54" s="27">
        <v>23</v>
      </c>
    </row>
    <row r="55" spans="1:5" x14ac:dyDescent="0.25">
      <c r="A55" s="30" t="s">
        <v>47</v>
      </c>
      <c r="B55" s="21">
        <v>8147</v>
      </c>
      <c r="C55" s="22" t="s">
        <v>29</v>
      </c>
      <c r="D55" s="19">
        <v>0.22916666666666666</v>
      </c>
      <c r="E55" s="20">
        <v>75</v>
      </c>
    </row>
    <row r="56" spans="1:5" x14ac:dyDescent="0.25">
      <c r="A56" s="29" t="s">
        <v>47</v>
      </c>
      <c r="B56" s="24">
        <v>9591</v>
      </c>
      <c r="C56" s="25" t="s">
        <v>27</v>
      </c>
      <c r="D56" s="26">
        <v>0.25</v>
      </c>
      <c r="E56" s="27">
        <v>78</v>
      </c>
    </row>
    <row r="57" spans="1:5" x14ac:dyDescent="0.25">
      <c r="A57" s="29" t="s">
        <v>47</v>
      </c>
      <c r="B57" s="24">
        <v>1297</v>
      </c>
      <c r="C57" s="25" t="s">
        <v>48</v>
      </c>
      <c r="D57" s="26">
        <v>0.25</v>
      </c>
      <c r="E57" s="27">
        <v>67</v>
      </c>
    </row>
    <row r="58" spans="1:5" x14ac:dyDescent="0.25">
      <c r="A58" s="30" t="s">
        <v>47</v>
      </c>
      <c r="B58" s="18">
        <v>7080</v>
      </c>
      <c r="C58" s="18" t="s">
        <v>27</v>
      </c>
      <c r="D58" s="19">
        <v>0.25</v>
      </c>
      <c r="E58" s="20">
        <v>79</v>
      </c>
    </row>
    <row r="59" spans="1:5" x14ac:dyDescent="0.25">
      <c r="A59" s="17" t="s">
        <v>47</v>
      </c>
      <c r="B59" s="18">
        <v>6657</v>
      </c>
      <c r="C59" s="18" t="s">
        <v>22</v>
      </c>
      <c r="D59" s="19">
        <v>0.27430555555555552</v>
      </c>
      <c r="E59" s="20">
        <v>78</v>
      </c>
    </row>
    <row r="60" spans="1:5" x14ac:dyDescent="0.25">
      <c r="A60" s="29" t="s">
        <v>47</v>
      </c>
      <c r="B60" s="28">
        <v>873</v>
      </c>
      <c r="C60" s="26" t="s">
        <v>49</v>
      </c>
      <c r="D60" s="26">
        <v>0.29166666666666669</v>
      </c>
      <c r="E60" s="27">
        <v>132</v>
      </c>
    </row>
    <row r="61" spans="1:5" x14ac:dyDescent="0.25">
      <c r="A61" s="30" t="s">
        <v>47</v>
      </c>
      <c r="B61" s="18">
        <v>9356</v>
      </c>
      <c r="C61" s="19" t="s">
        <v>33</v>
      </c>
      <c r="D61" s="19">
        <v>0.29166666666666669</v>
      </c>
      <c r="E61" s="20">
        <v>121</v>
      </c>
    </row>
    <row r="62" spans="1:5" x14ac:dyDescent="0.25">
      <c r="A62" s="30" t="s">
        <v>47</v>
      </c>
      <c r="B62" s="21">
        <v>493</v>
      </c>
      <c r="C62" s="22" t="s">
        <v>44</v>
      </c>
      <c r="D62" s="19">
        <v>0.2951388888888889</v>
      </c>
      <c r="E62" s="20">
        <v>121</v>
      </c>
    </row>
    <row r="63" spans="1:5" x14ac:dyDescent="0.25">
      <c r="A63" s="29" t="s">
        <v>47</v>
      </c>
      <c r="B63" s="24">
        <v>521</v>
      </c>
      <c r="C63" s="25" t="s">
        <v>50</v>
      </c>
      <c r="D63" s="26">
        <v>0.3125</v>
      </c>
      <c r="E63" s="27">
        <v>333</v>
      </c>
    </row>
    <row r="64" spans="1:5" x14ac:dyDescent="0.25">
      <c r="A64" s="29" t="s">
        <v>47</v>
      </c>
      <c r="B64" s="28">
        <v>2114</v>
      </c>
      <c r="C64" s="28" t="s">
        <v>51</v>
      </c>
      <c r="D64" s="26">
        <v>0.3125</v>
      </c>
      <c r="E64" s="27">
        <v>88</v>
      </c>
    </row>
    <row r="65" spans="1:5" x14ac:dyDescent="0.25">
      <c r="A65" s="30" t="s">
        <v>47</v>
      </c>
      <c r="B65" s="21">
        <v>8008</v>
      </c>
      <c r="C65" s="22" t="s">
        <v>22</v>
      </c>
      <c r="D65" s="19">
        <v>0.31597222222222221</v>
      </c>
      <c r="E65" s="20">
        <v>222</v>
      </c>
    </row>
    <row r="66" spans="1:5" x14ac:dyDescent="0.25">
      <c r="A66" s="30" t="s">
        <v>47</v>
      </c>
      <c r="B66" s="21">
        <v>8198</v>
      </c>
      <c r="C66" s="22" t="s">
        <v>52</v>
      </c>
      <c r="D66" s="19">
        <v>0.3263888888888889</v>
      </c>
      <c r="E66" s="20">
        <v>324</v>
      </c>
    </row>
    <row r="67" spans="1:5" x14ac:dyDescent="0.25">
      <c r="A67" s="30" t="s">
        <v>47</v>
      </c>
      <c r="B67" s="21">
        <v>49</v>
      </c>
      <c r="C67" s="22" t="s">
        <v>53</v>
      </c>
      <c r="D67" s="19">
        <v>0.32777777777777778</v>
      </c>
      <c r="E67" s="20">
        <v>121</v>
      </c>
    </row>
    <row r="68" spans="1:5" x14ac:dyDescent="0.25">
      <c r="A68" s="29" t="s">
        <v>54</v>
      </c>
      <c r="B68" s="24">
        <v>9743</v>
      </c>
      <c r="C68" s="25" t="s">
        <v>55</v>
      </c>
      <c r="D68" s="26">
        <v>5.2083333333333336E-2</v>
      </c>
      <c r="E68" s="27"/>
    </row>
    <row r="69" spans="1:5" x14ac:dyDescent="0.25">
      <c r="A69" s="17" t="s">
        <v>56</v>
      </c>
      <c r="B69" s="18">
        <v>5211</v>
      </c>
      <c r="C69" s="18" t="s">
        <v>39</v>
      </c>
      <c r="D69" s="19">
        <v>2.0833333333333332E-2</v>
      </c>
      <c r="E69" s="20">
        <v>222</v>
      </c>
    </row>
    <row r="70" spans="1:5" x14ac:dyDescent="0.25">
      <c r="A70" s="23" t="s">
        <v>56</v>
      </c>
      <c r="B70" s="24">
        <v>10</v>
      </c>
      <c r="C70" s="25" t="s">
        <v>49</v>
      </c>
      <c r="D70" s="26">
        <v>0.25</v>
      </c>
      <c r="E70" s="27">
        <v>323</v>
      </c>
    </row>
    <row r="71" spans="1:5" x14ac:dyDescent="0.25">
      <c r="A71" s="17" t="s">
        <v>56</v>
      </c>
      <c r="B71" s="21">
        <v>71</v>
      </c>
      <c r="C71" s="22" t="s">
        <v>25</v>
      </c>
      <c r="D71" s="19">
        <v>0.25</v>
      </c>
      <c r="E71" s="20">
        <v>132</v>
      </c>
    </row>
    <row r="72" spans="1:5" x14ac:dyDescent="0.25">
      <c r="A72" s="17" t="s">
        <v>56</v>
      </c>
      <c r="B72" s="18">
        <v>833</v>
      </c>
      <c r="C72" s="19" t="s">
        <v>32</v>
      </c>
      <c r="D72" s="19">
        <v>0.25</v>
      </c>
      <c r="E72" s="20">
        <v>42</v>
      </c>
    </row>
    <row r="73" spans="1:5" hidden="1" x14ac:dyDescent="0.25">
      <c r="A73" s="17" t="s">
        <v>56</v>
      </c>
      <c r="B73" s="18">
        <v>7116</v>
      </c>
      <c r="C73" s="18" t="s">
        <v>57</v>
      </c>
      <c r="D73" s="19">
        <v>0.25</v>
      </c>
      <c r="E73" s="20">
        <v>54</v>
      </c>
    </row>
    <row r="74" spans="1:5" hidden="1" x14ac:dyDescent="0.25">
      <c r="A74" s="23" t="s">
        <v>56</v>
      </c>
      <c r="B74" s="28">
        <v>8342</v>
      </c>
      <c r="C74" s="26" t="s">
        <v>22</v>
      </c>
      <c r="D74" s="26">
        <v>0.29166666666666669</v>
      </c>
      <c r="E74" s="27">
        <v>222</v>
      </c>
    </row>
    <row r="75" spans="1:5" hidden="1" x14ac:dyDescent="0.25">
      <c r="A75" s="17" t="s">
        <v>56</v>
      </c>
      <c r="B75" s="21">
        <v>9589</v>
      </c>
      <c r="C75" s="22" t="s">
        <v>27</v>
      </c>
      <c r="D75" s="19">
        <v>0.2986111111111111</v>
      </c>
      <c r="E75" s="20">
        <v>23</v>
      </c>
    </row>
    <row r="76" spans="1:5" hidden="1" x14ac:dyDescent="0.25">
      <c r="A76" s="23" t="s">
        <v>56</v>
      </c>
      <c r="B76" s="28">
        <v>5</v>
      </c>
      <c r="C76" s="28" t="s">
        <v>27</v>
      </c>
      <c r="D76" s="26">
        <v>0.2986111111111111</v>
      </c>
      <c r="E76" s="27">
        <v>222</v>
      </c>
    </row>
    <row r="77" spans="1:5" x14ac:dyDescent="0.25">
      <c r="A77" s="17" t="s">
        <v>56</v>
      </c>
      <c r="B77" s="21">
        <v>1048</v>
      </c>
      <c r="C77" s="22" t="s">
        <v>22</v>
      </c>
      <c r="D77" s="19">
        <v>0.31597222222222221</v>
      </c>
      <c r="E77" s="20">
        <v>132</v>
      </c>
    </row>
    <row r="78" spans="1:5" x14ac:dyDescent="0.25">
      <c r="A78" s="23" t="s">
        <v>56</v>
      </c>
      <c r="B78" s="24">
        <v>5811</v>
      </c>
      <c r="C78" s="25" t="s">
        <v>22</v>
      </c>
      <c r="D78" s="26">
        <v>0.31597222222222221</v>
      </c>
      <c r="E78" s="27">
        <v>121</v>
      </c>
    </row>
    <row r="79" spans="1:5" x14ac:dyDescent="0.25">
      <c r="A79" s="23" t="s">
        <v>56</v>
      </c>
      <c r="B79" s="24">
        <v>4508</v>
      </c>
      <c r="C79" s="25" t="s">
        <v>52</v>
      </c>
      <c r="D79" s="26">
        <v>0.3263888888888889</v>
      </c>
      <c r="E79" s="27">
        <v>132</v>
      </c>
    </row>
    <row r="80" spans="1:5" x14ac:dyDescent="0.25">
      <c r="A80" s="23" t="s">
        <v>56</v>
      </c>
      <c r="B80" s="28">
        <v>403</v>
      </c>
      <c r="C80" s="28" t="s">
        <v>22</v>
      </c>
      <c r="D80" s="26">
        <v>0.3263888888888889</v>
      </c>
      <c r="E80" s="27">
        <v>222</v>
      </c>
    </row>
    <row r="81" spans="1:5" x14ac:dyDescent="0.25">
      <c r="A81" s="23" t="s">
        <v>56</v>
      </c>
      <c r="B81" s="28">
        <v>4431</v>
      </c>
      <c r="C81" s="28" t="s">
        <v>58</v>
      </c>
      <c r="D81" s="26">
        <v>0.3298611111111111</v>
      </c>
      <c r="E81" s="27">
        <v>21</v>
      </c>
    </row>
    <row r="82" spans="1:5" x14ac:dyDescent="0.25">
      <c r="A82" s="29" t="s">
        <v>59</v>
      </c>
      <c r="B82" s="24">
        <v>425</v>
      </c>
      <c r="C82" s="25" t="s">
        <v>50</v>
      </c>
      <c r="D82" s="26">
        <v>4.5138888888888888E-2</v>
      </c>
      <c r="E82" s="27">
        <v>65</v>
      </c>
    </row>
    <row r="83" spans="1:5" x14ac:dyDescent="0.25">
      <c r="A83" s="29" t="s">
        <v>60</v>
      </c>
      <c r="B83" s="24">
        <v>587</v>
      </c>
      <c r="C83" s="25" t="s">
        <v>61</v>
      </c>
      <c r="D83" s="26">
        <v>0.16319444444444445</v>
      </c>
      <c r="E83" s="27"/>
    </row>
    <row r="84" spans="1:5" hidden="1" x14ac:dyDescent="0.25">
      <c r="A84" s="29" t="s">
        <v>60</v>
      </c>
      <c r="B84" s="24">
        <v>543</v>
      </c>
      <c r="C84" s="25" t="s">
        <v>62</v>
      </c>
      <c r="D84" s="26">
        <v>0.16666666666666666</v>
      </c>
      <c r="E84" s="27">
        <v>231</v>
      </c>
    </row>
    <row r="85" spans="1:5" hidden="1" x14ac:dyDescent="0.25">
      <c r="A85" s="23" t="s">
        <v>63</v>
      </c>
      <c r="B85" s="28">
        <v>258</v>
      </c>
      <c r="C85" s="26" t="s">
        <v>64</v>
      </c>
      <c r="D85" s="26">
        <v>0.15486111111111112</v>
      </c>
      <c r="E85" s="27"/>
    </row>
    <row r="86" spans="1:5" hidden="1" x14ac:dyDescent="0.25">
      <c r="A86" s="29" t="s">
        <v>63</v>
      </c>
      <c r="B86" s="24">
        <v>7928</v>
      </c>
      <c r="C86" s="25" t="s">
        <v>39</v>
      </c>
      <c r="D86" s="26">
        <v>3.4722222222222224E-2</v>
      </c>
      <c r="E86" s="27">
        <v>121</v>
      </c>
    </row>
    <row r="87" spans="1:5" hidden="1" x14ac:dyDescent="0.25">
      <c r="A87" s="23" t="s">
        <v>63</v>
      </c>
      <c r="B87" s="28">
        <v>735</v>
      </c>
      <c r="C87" s="26" t="s">
        <v>65</v>
      </c>
      <c r="D87" s="26">
        <v>0.23958333333333334</v>
      </c>
      <c r="E87" s="27">
        <v>54</v>
      </c>
    </row>
    <row r="88" spans="1:5" hidden="1" x14ac:dyDescent="0.25">
      <c r="A88" s="17" t="s">
        <v>63</v>
      </c>
      <c r="B88" s="21">
        <v>5045</v>
      </c>
      <c r="C88" s="22" t="s">
        <v>48</v>
      </c>
      <c r="D88" s="19">
        <v>0.25</v>
      </c>
      <c r="E88" s="20">
        <v>94</v>
      </c>
    </row>
    <row r="89" spans="1:5" x14ac:dyDescent="0.25">
      <c r="A89" s="23" t="s">
        <v>63</v>
      </c>
      <c r="B89" s="28">
        <v>9362</v>
      </c>
      <c r="C89" s="26" t="s">
        <v>48</v>
      </c>
      <c r="D89" s="26">
        <v>0.25</v>
      </c>
      <c r="E89" s="27">
        <v>83</v>
      </c>
    </row>
    <row r="90" spans="1:5" x14ac:dyDescent="0.25">
      <c r="A90" s="23" t="s">
        <v>63</v>
      </c>
      <c r="B90" s="28">
        <v>6629</v>
      </c>
      <c r="C90" s="28" t="s">
        <v>27</v>
      </c>
      <c r="D90" s="26">
        <v>0.25</v>
      </c>
      <c r="E90" s="27">
        <v>23</v>
      </c>
    </row>
    <row r="91" spans="1:5" x14ac:dyDescent="0.25">
      <c r="A91" s="23" t="s">
        <v>63</v>
      </c>
      <c r="B91" s="28">
        <v>6629</v>
      </c>
      <c r="C91" s="28" t="s">
        <v>27</v>
      </c>
      <c r="D91" s="26">
        <v>0.25</v>
      </c>
      <c r="E91" s="27">
        <v>43</v>
      </c>
    </row>
    <row r="92" spans="1:5" x14ac:dyDescent="0.25">
      <c r="A92" s="17" t="s">
        <v>63</v>
      </c>
      <c r="B92" s="18">
        <v>6629</v>
      </c>
      <c r="C92" s="18" t="s">
        <v>27</v>
      </c>
      <c r="D92" s="19">
        <v>0.25</v>
      </c>
      <c r="E92" s="20">
        <v>323</v>
      </c>
    </row>
    <row r="93" spans="1:5" x14ac:dyDescent="0.25">
      <c r="A93" s="17" t="s">
        <v>63</v>
      </c>
      <c r="B93" s="18">
        <v>6629</v>
      </c>
      <c r="C93" s="18" t="s">
        <v>27</v>
      </c>
      <c r="D93" s="19">
        <v>0.25</v>
      </c>
      <c r="E93" s="20">
        <v>78</v>
      </c>
    </row>
    <row r="94" spans="1:5" x14ac:dyDescent="0.25">
      <c r="A94" s="23" t="s">
        <v>63</v>
      </c>
      <c r="B94" s="28">
        <v>3120</v>
      </c>
      <c r="C94" s="26" t="s">
        <v>22</v>
      </c>
      <c r="D94" s="26">
        <v>0.27083333333333331</v>
      </c>
      <c r="E94" s="27">
        <v>39</v>
      </c>
    </row>
    <row r="95" spans="1:5" x14ac:dyDescent="0.25">
      <c r="A95" s="23" t="s">
        <v>63</v>
      </c>
      <c r="B95" s="28">
        <v>6629</v>
      </c>
      <c r="C95" s="28" t="s">
        <v>27</v>
      </c>
      <c r="D95" s="26">
        <v>0.25</v>
      </c>
      <c r="E95" s="27">
        <v>324</v>
      </c>
    </row>
    <row r="96" spans="1:5" x14ac:dyDescent="0.25">
      <c r="A96" s="17" t="s">
        <v>63</v>
      </c>
      <c r="B96" s="18">
        <v>7084</v>
      </c>
      <c r="C96" s="18" t="s">
        <v>27</v>
      </c>
      <c r="D96" s="19">
        <v>0.2986111111111111</v>
      </c>
      <c r="E96" s="20">
        <v>324</v>
      </c>
    </row>
    <row r="97" spans="1:5" x14ac:dyDescent="0.25">
      <c r="A97" s="17" t="s">
        <v>63</v>
      </c>
      <c r="B97" s="18">
        <v>6631</v>
      </c>
      <c r="C97" s="18" t="s">
        <v>27</v>
      </c>
      <c r="D97" s="19">
        <v>0.2986111111111111</v>
      </c>
      <c r="E97" s="20">
        <v>121</v>
      </c>
    </row>
    <row r="98" spans="1:5" x14ac:dyDescent="0.25">
      <c r="A98" s="17" t="s">
        <v>66</v>
      </c>
      <c r="B98" s="18">
        <v>567</v>
      </c>
      <c r="C98" s="19" t="s">
        <v>16</v>
      </c>
      <c r="D98" s="19">
        <v>0.19583333333333333</v>
      </c>
      <c r="E98" s="20">
        <v>23</v>
      </c>
    </row>
    <row r="99" spans="1:5" x14ac:dyDescent="0.25">
      <c r="A99" s="31" t="s">
        <v>67</v>
      </c>
      <c r="B99" s="32">
        <v>941</v>
      </c>
      <c r="C99" s="33" t="s">
        <v>68</v>
      </c>
      <c r="D99" s="10">
        <v>6.25E-2</v>
      </c>
      <c r="E99" s="11">
        <v>33</v>
      </c>
    </row>
  </sheetData>
  <dataValidations count="1">
    <dataValidation type="whole" allowBlank="1" showInputMessage="1" showErrorMessage="1" sqref="E4">
      <formula1>1</formula1>
      <formula2>450</formula2>
    </dataValidation>
  </dataValidations>
  <hyperlinks>
    <hyperlink ref="A1" r:id="rId1" display="Irish Aviation"/>
  </hyperlinks>
  <pageMargins left="0.70866141732283472" right="0.70866141732283472" top="0.74803149606299213" bottom="0.74803149606299213" header="0.31496062992125984" footer="0.31496062992125984"/>
  <pageSetup paperSize="284" scale="17" orientation="landscape" horizontalDpi="0" verticalDpi="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7"/>
  <sheetViews>
    <sheetView zoomScaleNormal="100" workbookViewId="0">
      <selection activeCell="D8" sqref="D8"/>
    </sheetView>
  </sheetViews>
  <sheetFormatPr defaultRowHeight="15" x14ac:dyDescent="0.25"/>
  <cols>
    <col min="1" max="2" width="24.28515625" customWidth="1"/>
    <col min="3" max="3" width="18.42578125" customWidth="1"/>
    <col min="4" max="8" width="11.5703125" customWidth="1"/>
    <col min="11" max="11" width="11.5703125" customWidth="1"/>
    <col min="12" max="12" width="12" customWidth="1"/>
    <col min="13" max="16" width="11.5703125" customWidth="1"/>
    <col min="17" max="17" width="10.5703125" bestFit="1" customWidth="1"/>
    <col min="18" max="22" width="11.5703125" bestFit="1" customWidth="1"/>
  </cols>
  <sheetData>
    <row r="1" spans="1:15" ht="21" x14ac:dyDescent="0.35">
      <c r="A1" s="38" t="s">
        <v>0</v>
      </c>
      <c r="B1" s="38"/>
      <c r="C1" s="38"/>
      <c r="D1" s="38"/>
      <c r="E1" s="38"/>
      <c r="F1" s="38"/>
      <c r="G1" s="38"/>
    </row>
    <row r="3" spans="1:15" x14ac:dyDescent="0.25">
      <c r="A3" s="34" t="s">
        <v>1</v>
      </c>
      <c r="B3" s="35" t="s">
        <v>69</v>
      </c>
      <c r="C3" s="35" t="s">
        <v>70</v>
      </c>
      <c r="D3" s="35" t="s">
        <v>71</v>
      </c>
      <c r="E3" s="35" t="s">
        <v>72</v>
      </c>
      <c r="F3" s="35" t="s">
        <v>73</v>
      </c>
      <c r="G3" s="36" t="s">
        <v>74</v>
      </c>
    </row>
    <row r="4" spans="1:15" x14ac:dyDescent="0.25">
      <c r="A4" s="37" t="s">
        <v>2</v>
      </c>
      <c r="B4" s="37">
        <v>21000</v>
      </c>
      <c r="C4" s="37">
        <v>38000</v>
      </c>
      <c r="D4" s="37">
        <v>45000</v>
      </c>
      <c r="E4" s="37">
        <v>52000</v>
      </c>
      <c r="F4" s="37">
        <v>59000</v>
      </c>
      <c r="G4" s="37">
        <v>65000</v>
      </c>
    </row>
    <row r="5" spans="1:15" ht="20.25" customHeight="1" x14ac:dyDescent="0.25">
      <c r="A5" s="37" t="s">
        <v>3</v>
      </c>
      <c r="B5" s="37">
        <v>7600</v>
      </c>
      <c r="C5" s="37">
        <v>9000</v>
      </c>
      <c r="D5" s="37">
        <v>11000</v>
      </c>
      <c r="E5" s="37">
        <v>13000</v>
      </c>
      <c r="F5" s="37">
        <v>15000</v>
      </c>
      <c r="G5" s="37">
        <v>17000</v>
      </c>
    </row>
    <row r="6" spans="1:15" x14ac:dyDescent="0.25">
      <c r="A6" s="37" t="s">
        <v>4</v>
      </c>
      <c r="B6" s="37">
        <v>12987</v>
      </c>
      <c r="C6" s="37">
        <v>15000</v>
      </c>
      <c r="D6" s="37">
        <v>17000</v>
      </c>
      <c r="E6" s="37">
        <v>19000</v>
      </c>
      <c r="F6" s="37">
        <v>21000</v>
      </c>
      <c r="G6" s="37">
        <v>23000</v>
      </c>
    </row>
    <row r="7" spans="1:15" x14ac:dyDescent="0.25">
      <c r="A7" s="37" t="s">
        <v>5</v>
      </c>
      <c r="B7" s="37">
        <v>1000</v>
      </c>
      <c r="C7" s="37">
        <v>2000</v>
      </c>
      <c r="D7" s="37">
        <v>4000</v>
      </c>
      <c r="E7" s="37">
        <v>6000</v>
      </c>
      <c r="F7" s="37">
        <v>8000</v>
      </c>
      <c r="G7" s="37">
        <v>10000</v>
      </c>
    </row>
    <row r="8" spans="1:15" x14ac:dyDescent="0.25">
      <c r="A8" s="37" t="s">
        <v>6</v>
      </c>
      <c r="B8" s="37">
        <v>20000</v>
      </c>
      <c r="C8" s="37">
        <v>25000</v>
      </c>
      <c r="D8" s="37">
        <v>29000</v>
      </c>
      <c r="E8" s="37">
        <v>31000</v>
      </c>
      <c r="F8" s="37">
        <v>33000</v>
      </c>
      <c r="G8" s="37">
        <v>36000</v>
      </c>
    </row>
    <row r="9" spans="1:15" x14ac:dyDescent="0.25">
      <c r="A9" s="37" t="s">
        <v>7</v>
      </c>
      <c r="B9" s="37">
        <v>98000</v>
      </c>
      <c r="C9" s="37">
        <v>124000</v>
      </c>
      <c r="D9" s="37">
        <v>140000</v>
      </c>
      <c r="E9" s="37">
        <v>150000</v>
      </c>
      <c r="F9" s="37">
        <v>156000</v>
      </c>
      <c r="G9" s="37">
        <v>170000</v>
      </c>
    </row>
    <row r="10" spans="1:15" x14ac:dyDescent="0.25">
      <c r="A10" s="37" t="s">
        <v>8</v>
      </c>
      <c r="B10" s="37">
        <v>56000</v>
      </c>
      <c r="C10" s="37">
        <v>68000</v>
      </c>
      <c r="D10" s="37">
        <v>74000</v>
      </c>
      <c r="E10" s="37">
        <v>80000</v>
      </c>
      <c r="F10" s="37">
        <v>85000</v>
      </c>
      <c r="G10" s="37">
        <v>90000</v>
      </c>
    </row>
    <row r="11" spans="1:15" x14ac:dyDescent="0.25">
      <c r="A11" s="1" t="s">
        <v>9</v>
      </c>
      <c r="B11" s="2">
        <f>SUM(B4:B10)</f>
        <v>216587</v>
      </c>
      <c r="C11" s="3">
        <f>SUM(C4:C10)</f>
        <v>281000</v>
      </c>
      <c r="D11" s="3">
        <f t="shared" ref="D11:G11" si="0">SUM(D4:D10)</f>
        <v>320000</v>
      </c>
      <c r="E11" s="3">
        <f t="shared" si="0"/>
        <v>351000</v>
      </c>
      <c r="F11" s="3">
        <f t="shared" si="0"/>
        <v>377000</v>
      </c>
      <c r="G11" s="3">
        <f t="shared" si="0"/>
        <v>411000</v>
      </c>
    </row>
    <row r="12" spans="1:15" x14ac:dyDescent="0.25">
      <c r="O12" s="4"/>
    </row>
    <row r="29" ht="57" customHeight="1" x14ac:dyDescent="0.25"/>
    <row r="37" spans="4:5" x14ac:dyDescent="0.25">
      <c r="D37" s="39"/>
      <c r="E37" s="39"/>
    </row>
  </sheetData>
  <mergeCells count="2">
    <mergeCell ref="A1:G1"/>
    <mergeCell ref="D37:E37"/>
  </mergeCells>
  <conditionalFormatting sqref="G11">
    <cfRule type="cellIs" dxfId="0" priority="1" operator="greaterThan">
      <formula>500000000</formula>
    </cfRule>
  </conditionalFormatting>
  <pageMargins left="0.70866141732283472" right="0.70866141732283472" top="0.74803149606299213" bottom="0.74803149606299213" header="0.31496062992125984" footer="0.31496062992125984"/>
  <pageSetup paperSize="9" scale="85" orientation="landscape" horizontalDpi="0" verticalDpi="0" r:id="rId1"/>
  <headerFooter>
    <oddHeader>&amp;L&amp;G&amp;CMurphy&amp;RUdemy</oddHeader>
    <oddFooter>&amp;L&amp;P of &amp;N&amp;C&amp;D&amp;T&amp;Z&amp;F&amp;R&amp;F&amp;A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Flights</vt:lpstr>
      <vt:lpstr>Marketing Plan Budget</vt:lpstr>
      <vt:lpstr>Plan</vt:lpstr>
      <vt:lpstr>'Marketing Plan Budget'!Print_Titles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Murphy, David</dc:creator>
  <cp:lastModifiedBy>DMurphy</cp:lastModifiedBy>
  <cp:lastPrinted>2018-11-29T17:08:06Z</cp:lastPrinted>
  <dcterms:created xsi:type="dcterms:W3CDTF">2018-11-28T14:27:53Z</dcterms:created>
  <dcterms:modified xsi:type="dcterms:W3CDTF">2019-01-30T09:45:44Z</dcterms:modified>
</cp:coreProperties>
</file>