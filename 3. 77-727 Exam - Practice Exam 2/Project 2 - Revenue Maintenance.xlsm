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Murphy\Dropbox\Packt Publishing\77-727 Core Excel Practice Tests and Video Solutions\77-727 Exam - Practice Exam 2\"/>
    </mc:Choice>
  </mc:AlternateContent>
  <bookViews>
    <workbookView xWindow="0" yWindow="0" windowWidth="24000" windowHeight="9600" activeTab="3"/>
  </bookViews>
  <sheets>
    <sheet name="2017 Monthly Revenue" sheetId="9" r:id="rId1"/>
    <sheet name="Flights" sheetId="10" r:id="rId2"/>
    <sheet name="Profit Forecast" sheetId="8" r:id="rId3"/>
    <sheet name="Maintenance Schedule" sheetId="11" r:id="rId4"/>
  </sheets>
  <definedNames>
    <definedName name="Advances" localSheetId="3">#REF!</definedName>
    <definedName name="Advances">#REF!</definedName>
    <definedName name="ColumnTitle1" localSheetId="3">#REF!</definedName>
    <definedName name="ColumnTitle1">#REF!</definedName>
    <definedName name="Plan">#REF!</definedName>
    <definedName name="Subtotal" localSheetId="3">#REF!</definedName>
    <definedName name="Subtotal">#REF!</definedName>
    <definedName name="test">#REF!,#REF!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0" i="9" l="1"/>
  <c r="P14" i="9"/>
  <c r="N14" i="9"/>
  <c r="L14" i="9"/>
  <c r="J14" i="9"/>
  <c r="H14" i="9"/>
  <c r="F14" i="9"/>
  <c r="Q14" i="9" s="1"/>
  <c r="P13" i="9"/>
  <c r="N13" i="9"/>
  <c r="L13" i="9"/>
  <c r="J13" i="9"/>
  <c r="H13" i="9"/>
  <c r="F13" i="9"/>
  <c r="Q13" i="9" s="1"/>
  <c r="P12" i="9"/>
  <c r="N12" i="9"/>
  <c r="L12" i="9"/>
  <c r="J12" i="9"/>
  <c r="H12" i="9"/>
  <c r="F12" i="9"/>
  <c r="Q12" i="9" s="1"/>
  <c r="P11" i="9"/>
  <c r="N11" i="9"/>
  <c r="L11" i="9"/>
  <c r="J11" i="9"/>
  <c r="H11" i="9"/>
  <c r="F11" i="9"/>
  <c r="Q11" i="9" s="1"/>
  <c r="P10" i="9"/>
  <c r="N10" i="9"/>
  <c r="L10" i="9"/>
  <c r="J10" i="9"/>
  <c r="H10" i="9"/>
  <c r="F10" i="9"/>
  <c r="P9" i="9"/>
  <c r="N9" i="9"/>
  <c r="L9" i="9"/>
  <c r="J9" i="9"/>
  <c r="H9" i="9"/>
  <c r="F9" i="9"/>
  <c r="Q9" i="9" s="1"/>
  <c r="P8" i="9"/>
  <c r="N8" i="9"/>
  <c r="L8" i="9"/>
  <c r="J8" i="9"/>
  <c r="H8" i="9"/>
  <c r="F8" i="9"/>
  <c r="Q8" i="9" s="1"/>
  <c r="P7" i="9"/>
  <c r="N7" i="9"/>
  <c r="L7" i="9"/>
  <c r="J7" i="9"/>
  <c r="H7" i="9"/>
  <c r="F7" i="9"/>
  <c r="Q7" i="9" s="1"/>
  <c r="P6" i="9"/>
  <c r="N6" i="9"/>
  <c r="L6" i="9"/>
  <c r="J6" i="9"/>
  <c r="H6" i="9"/>
  <c r="F6" i="9"/>
  <c r="Q6" i="9" s="1"/>
  <c r="P5" i="9"/>
  <c r="N5" i="9"/>
  <c r="L5" i="9"/>
  <c r="J5" i="9"/>
  <c r="H5" i="9"/>
  <c r="F5" i="9"/>
  <c r="Q5" i="9" s="1"/>
  <c r="P4" i="9"/>
  <c r="N4" i="9"/>
  <c r="L4" i="9"/>
  <c r="J4" i="9"/>
  <c r="H4" i="9"/>
  <c r="F4" i="9"/>
  <c r="Q4" i="9" s="1"/>
  <c r="P3" i="9"/>
  <c r="N3" i="9"/>
  <c r="L3" i="9"/>
  <c r="J3" i="9"/>
  <c r="H3" i="9"/>
  <c r="F3" i="9"/>
  <c r="Q3" i="9" l="1"/>
  <c r="Q15" i="9" s="1"/>
  <c r="G11" i="8" l="1"/>
  <c r="F11" i="8"/>
  <c r="E11" i="8"/>
  <c r="D11" i="8"/>
  <c r="C11" i="8"/>
  <c r="B11" i="8"/>
</calcChain>
</file>

<file path=xl/comments1.xml><?xml version="1.0" encoding="utf-8"?>
<comments xmlns="http://schemas.openxmlformats.org/spreadsheetml/2006/main">
  <authors>
    <author>DMurphy</author>
  </authors>
  <commentList>
    <comment ref="D2" authorId="0" shapeId="0">
      <text>
        <r>
          <rPr>
            <b/>
            <sz val="9"/>
            <color indexed="81"/>
            <rFont val="Tahoma"/>
            <family val="2"/>
          </rPr>
          <t>DMurphy:</t>
        </r>
        <r>
          <rPr>
            <sz val="9"/>
            <color indexed="81"/>
            <rFont val="Tahoma"/>
            <family val="2"/>
          </rPr>
          <t xml:space="preserve">
Very Early Flight!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DMurphy:</t>
        </r>
        <r>
          <rPr>
            <sz val="9"/>
            <color indexed="81"/>
            <rFont val="Tahoma"/>
            <family val="2"/>
          </rPr>
          <t xml:space="preserve">
Tends to flood</t>
        </r>
      </text>
    </comment>
    <comment ref="A86" authorId="0" shapeId="0">
      <text>
        <r>
          <rPr>
            <b/>
            <sz val="9"/>
            <color indexed="81"/>
            <rFont val="Tahoma"/>
            <family val="2"/>
          </rPr>
          <t>DMurphy:</t>
        </r>
        <r>
          <rPr>
            <sz val="9"/>
            <color indexed="81"/>
            <rFont val="Tahoma"/>
            <family val="2"/>
          </rPr>
          <t xml:space="preserve">
Warm in January</t>
        </r>
      </text>
    </comment>
  </commentList>
</comments>
</file>

<file path=xl/comments2.xml><?xml version="1.0" encoding="utf-8"?>
<comments xmlns="http://schemas.openxmlformats.org/spreadsheetml/2006/main">
  <authors>
    <author>DMurphy</author>
  </authors>
  <commentList>
    <comment ref="G6" authorId="0" shapeId="0">
      <text>
        <r>
          <rPr>
            <b/>
            <sz val="9"/>
            <color indexed="81"/>
            <rFont val="Tahoma"/>
            <family val="2"/>
          </rPr>
          <t>DMurphy:</t>
        </r>
        <r>
          <rPr>
            <sz val="9"/>
            <color indexed="81"/>
            <rFont val="Tahoma"/>
            <family val="2"/>
          </rPr>
          <t xml:space="preserve">
Too much!</t>
        </r>
      </text>
    </comment>
  </commentList>
</comments>
</file>

<file path=xl/comments3.xml><?xml version="1.0" encoding="utf-8"?>
<comments xmlns="http://schemas.openxmlformats.org/spreadsheetml/2006/main">
  <authors>
    <author>DMurphy</author>
  </authors>
  <commentList>
    <comment ref="C9" authorId="0" shapeId="0">
      <text>
        <r>
          <rPr>
            <b/>
            <sz val="9"/>
            <color indexed="81"/>
            <rFont val="Tahoma"/>
            <family val="2"/>
          </rPr>
          <t>DMurphy:</t>
        </r>
        <r>
          <rPr>
            <sz val="9"/>
            <color indexed="81"/>
            <rFont val="Tahoma"/>
            <family val="2"/>
          </rPr>
          <t xml:space="preserve">
In normal circumstances the plane must be removed from service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DMurphy:</t>
        </r>
        <r>
          <rPr>
            <sz val="9"/>
            <color indexed="81"/>
            <rFont val="Tahoma"/>
            <family val="2"/>
          </rPr>
          <t xml:space="preserve">
No service removal required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DMurphy:</t>
        </r>
        <r>
          <rPr>
            <sz val="9"/>
            <color indexed="81"/>
            <rFont val="Tahoma"/>
            <family val="2"/>
          </rPr>
          <t xml:space="preserve">
Complete on the tarmac</t>
        </r>
      </text>
    </comment>
  </commentList>
</comments>
</file>

<file path=xl/sharedStrings.xml><?xml version="1.0" encoding="utf-8"?>
<sst xmlns="http://schemas.openxmlformats.org/spreadsheetml/2006/main" count="308" uniqueCount="104">
  <si>
    <t>Total</t>
  </si>
  <si>
    <t>Profit Forecast (Million Euro) 2017 to 2022</t>
  </si>
  <si>
    <t>Flights</t>
  </si>
  <si>
    <t>Passenger Services</t>
  </si>
  <si>
    <t>In House Entertainment</t>
  </si>
  <si>
    <t>Duty Free</t>
  </si>
  <si>
    <t>Raffle Tickets</t>
  </si>
  <si>
    <t>Car Hire margin</t>
  </si>
  <si>
    <t>Hotel Referrals</t>
  </si>
  <si>
    <t>Monthly Revenue Report 2017</t>
  </si>
  <si>
    <t>Monthly</t>
  </si>
  <si>
    <t>€ Millions</t>
  </si>
  <si>
    <t>Airport</t>
  </si>
  <si>
    <t>Airport Total</t>
  </si>
  <si>
    <t>JANARR</t>
  </si>
  <si>
    <t>January</t>
  </si>
  <si>
    <t>Arricife</t>
  </si>
  <si>
    <t>Dublin</t>
  </si>
  <si>
    <t>London</t>
  </si>
  <si>
    <t>Cork</t>
  </si>
  <si>
    <t>Rome</t>
  </si>
  <si>
    <t>Padua</t>
  </si>
  <si>
    <t>Milan</t>
  </si>
  <si>
    <t>Catania</t>
  </si>
  <si>
    <t>Belfast</t>
  </si>
  <si>
    <t>City of London</t>
  </si>
  <si>
    <t>Gatwick</t>
  </si>
  <si>
    <t>Heathrow</t>
  </si>
  <si>
    <t>Departure Airport</t>
  </si>
  <si>
    <t>Destination</t>
  </si>
  <si>
    <t>Departure Time</t>
  </si>
  <si>
    <t>Number of Passengers</t>
  </si>
  <si>
    <t xml:space="preserve">San Salvador (SAL) </t>
  </si>
  <si>
    <t xml:space="preserve">Bogota (BOG) </t>
  </si>
  <si>
    <t xml:space="preserve">Mexico City (MEX) </t>
  </si>
  <si>
    <t xml:space="preserve">Fort Myers, FL (RSW) </t>
  </si>
  <si>
    <t xml:space="preserve">Panama City (PTY) </t>
  </si>
  <si>
    <t xml:space="preserve">Los Angeles, CA (LAX) </t>
  </si>
  <si>
    <t xml:space="preserve">Puerto Plata (POP) </t>
  </si>
  <si>
    <t xml:space="preserve">Nassau (NAS) </t>
  </si>
  <si>
    <t xml:space="preserve">Orlando, FL (MCO) </t>
  </si>
  <si>
    <t xml:space="preserve">Charlotte, NC (CLT) </t>
  </si>
  <si>
    <t xml:space="preserve">San Francisco, CA (SFO) </t>
  </si>
  <si>
    <t xml:space="preserve">Miami, FL (MIA) </t>
  </si>
  <si>
    <t xml:space="preserve">Georgetown (GEO) </t>
  </si>
  <si>
    <t xml:space="preserve">Santiago (STI) </t>
  </si>
  <si>
    <t xml:space="preserve">Salt Lake City, UT (SLC) </t>
  </si>
  <si>
    <t xml:space="preserve">Kingston (KIN) </t>
  </si>
  <si>
    <t xml:space="preserve">Charlotte Amal (STT) </t>
  </si>
  <si>
    <t xml:space="preserve">Las Vegas, NV (LAS) </t>
  </si>
  <si>
    <t xml:space="preserve">Dublin </t>
  </si>
  <si>
    <t xml:space="preserve">Seoul (ICN) </t>
  </si>
  <si>
    <t xml:space="preserve">New Orleans, LA (MSY) </t>
  </si>
  <si>
    <t xml:space="preserve">Boston, MA (BOS) </t>
  </si>
  <si>
    <t xml:space="preserve">Allentown, PA (ABE) </t>
  </si>
  <si>
    <t>Dublin2</t>
  </si>
  <si>
    <t xml:space="preserve">Santo Domingo (SDQ) </t>
  </si>
  <si>
    <t xml:space="preserve">San Juan (SJU) </t>
  </si>
  <si>
    <t xml:space="preserve">Atlanta, GA (ATL) </t>
  </si>
  <si>
    <t xml:space="preserve">Montego Bay (MBJ) </t>
  </si>
  <si>
    <t xml:space="preserve">Port-of-Spain (POS) </t>
  </si>
  <si>
    <t xml:space="preserve">Philadelphia, PA (PHL) </t>
  </si>
  <si>
    <t xml:space="preserve">Montreal (YUL) </t>
  </si>
  <si>
    <t xml:space="preserve">West Palm Beach, FL (PBI) </t>
  </si>
  <si>
    <t>Latvia</t>
  </si>
  <si>
    <t xml:space="preserve">Hamilton (YHM) </t>
  </si>
  <si>
    <t>Luton</t>
  </si>
  <si>
    <t xml:space="preserve">Washington, DC (IAD) </t>
  </si>
  <si>
    <t xml:space="preserve">Toronto (YYZ) </t>
  </si>
  <si>
    <t xml:space="preserve">Brussels (BRU) </t>
  </si>
  <si>
    <t xml:space="preserve">Amsterdam (AMS) </t>
  </si>
  <si>
    <t xml:space="preserve">Anchorage, AK (ANC) </t>
  </si>
  <si>
    <t xml:space="preserve">Aguadilla (BQN) </t>
  </si>
  <si>
    <t>Tenerife</t>
  </si>
  <si>
    <t>Wales</t>
  </si>
  <si>
    <t xml:space="preserve">Liege (LGG) </t>
  </si>
  <si>
    <t>Maintenance Schedule - Primary Aircraft</t>
  </si>
  <si>
    <t>Number of Each Type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</si>
  <si>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</si>
  <si>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</si>
  <si>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</si>
  <si>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</si>
  <si>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</si>
  <si>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</si>
  <si>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</si>
  <si>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</si>
  <si>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</si>
  <si>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</si>
  <si>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</si>
  <si>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</si>
  <si>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</t>
  </si>
  <si>
    <t>B</t>
  </si>
  <si>
    <t>C</t>
  </si>
  <si>
    <t>Boeing 747</t>
  </si>
  <si>
    <t>Airbus 355</t>
  </si>
  <si>
    <t>Fockwer 50</t>
  </si>
  <si>
    <t>Lear Jet 250</t>
  </si>
  <si>
    <t>Key</t>
  </si>
  <si>
    <t>Complete Engine Overhaul</t>
  </si>
  <si>
    <t>Detailed Inspection</t>
  </si>
  <si>
    <t>Look over</t>
  </si>
  <si>
    <t>Review Budget</t>
  </si>
  <si>
    <t>Flight Number</t>
  </si>
  <si>
    <t>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</si>
</sst>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€-2]\ #,##0;[Red][$€-2]\ #,##0"/>
    <numFmt numFmtId="165" formatCode="_-[$€-2]\ * #,##0.00_-;\-[$€-2]\ * #,##0.00_-;_-[$€-2]\ * &quot;-&quot;??_-;_-@_-"/>
    <numFmt numFmtId="166" formatCode="[$€-2]\ #,##0.00;\-[$€-2]\ #,##0.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i/>
      <sz val="11"/>
      <color rgb="FF7F7F7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theme="1"/>
      <name val="Calibri Light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50">
    <xf numFmtId="0" fontId="0" fillId="0" borderId="0" xfId="0"/>
    <xf numFmtId="0" fontId="2" fillId="0" borderId="0" xfId="0" applyFont="1" applyAlignment="1">
      <alignment horizontal="center"/>
    </xf>
    <xf numFmtId="0" fontId="4" fillId="0" borderId="1" xfId="0" applyFont="1" applyBorder="1"/>
    <xf numFmtId="0" fontId="1" fillId="0" borderId="0" xfId="0" applyFont="1" applyAlignment="1">
      <alignment horizontal="center"/>
    </xf>
    <xf numFmtId="164" fontId="0" fillId="0" borderId="1" xfId="0" applyNumberFormat="1" applyBorder="1"/>
    <xf numFmtId="0" fontId="9" fillId="0" borderId="0" xfId="0" applyFont="1"/>
    <xf numFmtId="0" fontId="1" fillId="0" borderId="0" xfId="0" applyFont="1"/>
    <xf numFmtId="0" fontId="0" fillId="0" borderId="1" xfId="0" applyBorder="1"/>
    <xf numFmtId="165" fontId="11" fillId="0" borderId="0" xfId="1" applyNumberFormat="1" applyFont="1"/>
    <xf numFmtId="165" fontId="0" fillId="0" borderId="0" xfId="0" applyNumberFormat="1"/>
    <xf numFmtId="4" fontId="0" fillId="0" borderId="1" xfId="0" applyNumberFormat="1" applyBorder="1" applyAlignment="1">
      <alignment horizontal="left"/>
    </xf>
    <xf numFmtId="0" fontId="8" fillId="2" borderId="3" xfId="0" applyFont="1" applyFill="1" applyBorder="1"/>
    <xf numFmtId="0" fontId="8" fillId="2" borderId="4" xfId="0" applyFont="1" applyFill="1" applyBorder="1"/>
    <xf numFmtId="0" fontId="0" fillId="0" borderId="5" xfId="0" applyFont="1" applyBorder="1"/>
    <xf numFmtId="0" fontId="0" fillId="0" borderId="6" xfId="0" applyFont="1" applyBorder="1"/>
    <xf numFmtId="18" fontId="0" fillId="0" borderId="6" xfId="0" applyNumberFormat="1" applyFont="1" applyBorder="1"/>
    <xf numFmtId="0" fontId="0" fillId="0" borderId="7" xfId="0" applyFont="1" applyBorder="1"/>
    <xf numFmtId="0" fontId="13" fillId="3" borderId="8" xfId="0" applyFont="1" applyFill="1" applyBorder="1"/>
    <xf numFmtId="0" fontId="13" fillId="3" borderId="0" xfId="0" applyFont="1" applyFill="1" applyBorder="1"/>
    <xf numFmtId="18" fontId="13" fillId="3" borderId="0" xfId="0" applyNumberFormat="1" applyFont="1" applyFill="1" applyBorder="1"/>
    <xf numFmtId="18" fontId="0" fillId="3" borderId="0" xfId="0" applyNumberFormat="1" applyFont="1" applyFill="1" applyBorder="1"/>
    <xf numFmtId="0" fontId="0" fillId="3" borderId="9" xfId="0" applyFont="1" applyFill="1" applyBorder="1"/>
    <xf numFmtId="0" fontId="0" fillId="3" borderId="2" xfId="0" applyFont="1" applyFill="1" applyBorder="1"/>
    <xf numFmtId="0" fontId="0" fillId="3" borderId="3" xfId="0" applyFont="1" applyFill="1" applyBorder="1"/>
    <xf numFmtId="18" fontId="0" fillId="3" borderId="3" xfId="0" applyNumberFormat="1" applyFont="1" applyFill="1" applyBorder="1"/>
    <xf numFmtId="0" fontId="0" fillId="3" borderId="4" xfId="0" applyFont="1" applyFill="1" applyBorder="1"/>
    <xf numFmtId="0" fontId="13" fillId="3" borderId="3" xfId="0" applyFont="1" applyFill="1" applyBorder="1"/>
    <xf numFmtId="18" fontId="13" fillId="3" borderId="3" xfId="0" applyNumberFormat="1" applyFont="1" applyFill="1" applyBorder="1"/>
    <xf numFmtId="0" fontId="0" fillId="0" borderId="2" xfId="0" applyFont="1" applyBorder="1"/>
    <xf numFmtId="0" fontId="13" fillId="0" borderId="3" xfId="0" applyFont="1" applyBorder="1"/>
    <xf numFmtId="18" fontId="13" fillId="0" borderId="3" xfId="0" applyNumberFormat="1" applyFont="1" applyBorder="1"/>
    <xf numFmtId="18" fontId="0" fillId="0" borderId="3" xfId="0" applyNumberFormat="1" applyFont="1" applyBorder="1"/>
    <xf numFmtId="0" fontId="0" fillId="0" borderId="4" xfId="0" applyFont="1" applyBorder="1"/>
    <xf numFmtId="0" fontId="0" fillId="0" borderId="3" xfId="0" applyFont="1" applyBorder="1"/>
    <xf numFmtId="0" fontId="13" fillId="0" borderId="2" xfId="0" applyFont="1" applyBorder="1"/>
    <xf numFmtId="0" fontId="13" fillId="3" borderId="2" xfId="0" applyFont="1" applyFill="1" applyBorder="1"/>
    <xf numFmtId="0" fontId="13" fillId="0" borderId="5" xfId="0" applyFont="1" applyBorder="1"/>
    <xf numFmtId="0" fontId="13" fillId="0" borderId="6" xfId="0" applyFont="1" applyBorder="1"/>
    <xf numFmtId="18" fontId="13" fillId="0" borderId="6" xfId="0" applyNumberFormat="1" applyFont="1" applyBorder="1"/>
    <xf numFmtId="0" fontId="3" fillId="0" borderId="0" xfId="0" applyFont="1" applyAlignment="1">
      <alignment horizontal="left"/>
    </xf>
    <xf numFmtId="4" fontId="0" fillId="0" borderId="11" xfId="0" applyNumberFormat="1" applyBorder="1" applyAlignment="1">
      <alignment horizontal="left"/>
    </xf>
    <xf numFmtId="166" fontId="0" fillId="0" borderId="1" xfId="0" applyNumberFormat="1" applyBorder="1"/>
    <xf numFmtId="0" fontId="1" fillId="0" borderId="0" xfId="0" applyFont="1" applyAlignment="1">
      <alignment horizontal="center"/>
    </xf>
    <xf numFmtId="0" fontId="0" fillId="4" borderId="10" xfId="0" applyFill="1" applyBorder="1"/>
    <xf numFmtId="0" fontId="1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1" xfId="0" applyFont="1" applyBorder="1"/>
    <xf numFmtId="0" fontId="5" fillId="0" borderId="0" xfId="0" applyFont="1" applyAlignment="1">
      <alignment horizontal="center"/>
    </xf>
    <xf numFmtId="0" fontId="12" fillId="0" borderId="0" xfId="2" applyAlignment="1">
      <alignment horizontal="center"/>
    </xf>
    <xf numFmtId="0" fontId="1" fillId="0" borderId="0" xfId="0" applyFont="1" applyAlignment="1">
      <alignment horizontal="center"/>
    </xf>
  </cellXfs>
  <cellStyles count="3">
    <cellStyle name="Explanatory Text" xfId="1" builtinId="53"/>
    <cellStyle name="Hyperlink" xfId="2" builtinId="8"/>
    <cellStyle name="Normal" xfId="0" builtinId="0"/>
  </cellStyles>
  <dxfs count="1"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Profit Forecast 2017 to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'Profit Forecast'!$A$4</c:f>
              <c:strCache>
                <c:ptCount val="1"/>
                <c:pt idx="0">
                  <c:v>Flights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'Profit Forecast'!$B$3:$G$3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'Profit Forecast'!$B$4:$G$4</c:f>
              <c:numCache>
                <c:formatCode>[$€-2]\ #,##0;[Red][$€-2]\ #,##0</c:formatCode>
                <c:ptCount val="6"/>
                <c:pt idx="0">
                  <c:v>324</c:v>
                </c:pt>
                <c:pt idx="1">
                  <c:v>378</c:v>
                </c:pt>
                <c:pt idx="2">
                  <c:v>412</c:v>
                </c:pt>
                <c:pt idx="3">
                  <c:v>455</c:v>
                </c:pt>
                <c:pt idx="4">
                  <c:v>533</c:v>
                </c:pt>
                <c:pt idx="5">
                  <c:v>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36-4A18-9B7E-CA6ADD4CB196}"/>
            </c:ext>
          </c:extLst>
        </c:ser>
        <c:ser>
          <c:idx val="1"/>
          <c:order val="1"/>
          <c:tx>
            <c:strRef>
              <c:f>'Profit Forecast'!$A$5</c:f>
              <c:strCache>
                <c:ptCount val="1"/>
                <c:pt idx="0">
                  <c:v>Passenger Services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'Profit Forecast'!$B$3:$G$3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'Profit Forecast'!$B$5:$G$5</c:f>
              <c:numCache>
                <c:formatCode>[$€-2]\ #,##0;[Red][$€-2]\ #,##0</c:formatCode>
                <c:ptCount val="6"/>
                <c:pt idx="0">
                  <c:v>15</c:v>
                </c:pt>
                <c:pt idx="1">
                  <c:v>19</c:v>
                </c:pt>
                <c:pt idx="2">
                  <c:v>23</c:v>
                </c:pt>
                <c:pt idx="3">
                  <c:v>25</c:v>
                </c:pt>
                <c:pt idx="4">
                  <c:v>32</c:v>
                </c:pt>
                <c:pt idx="5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36-4A18-9B7E-CA6ADD4CB196}"/>
            </c:ext>
          </c:extLst>
        </c:ser>
        <c:ser>
          <c:idx val="2"/>
          <c:order val="2"/>
          <c:tx>
            <c:strRef>
              <c:f>'Profit Forecast'!$A$6</c:f>
              <c:strCache>
                <c:ptCount val="1"/>
                <c:pt idx="0">
                  <c:v>In House Entertainment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'Profit Forecast'!$B$3:$G$3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'Profit Forecast'!$B$6:$G$6</c:f>
              <c:numCache>
                <c:formatCode>[$€-2]\ #,##0;[Red][$€-2]\ #,##0</c:formatCode>
                <c:ptCount val="6"/>
                <c:pt idx="0">
                  <c:v>32</c:v>
                </c:pt>
                <c:pt idx="1">
                  <c:v>37</c:v>
                </c:pt>
                <c:pt idx="2">
                  <c:v>42</c:v>
                </c:pt>
                <c:pt idx="3">
                  <c:v>46</c:v>
                </c:pt>
                <c:pt idx="4">
                  <c:v>49</c:v>
                </c:pt>
                <c:pt idx="5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36-4A18-9B7E-CA6ADD4CB196}"/>
            </c:ext>
          </c:extLst>
        </c:ser>
        <c:ser>
          <c:idx val="3"/>
          <c:order val="3"/>
          <c:tx>
            <c:strRef>
              <c:f>'Profit Forecast'!$A$7</c:f>
              <c:strCache>
                <c:ptCount val="1"/>
                <c:pt idx="0">
                  <c:v>Duty Free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'Profit Forecast'!$B$3:$G$3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'Profit Forecast'!$B$7:$G$7</c:f>
              <c:numCache>
                <c:formatCode>[$€-2]\ #,##0;[Red][$€-2]\ #,##0</c:formatCode>
                <c:ptCount val="6"/>
                <c:pt idx="0">
                  <c:v>111</c:v>
                </c:pt>
                <c:pt idx="1">
                  <c:v>134</c:v>
                </c:pt>
                <c:pt idx="2">
                  <c:v>157</c:v>
                </c:pt>
                <c:pt idx="3">
                  <c:v>177</c:v>
                </c:pt>
                <c:pt idx="4">
                  <c:v>189</c:v>
                </c:pt>
                <c:pt idx="5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36-4A18-9B7E-CA6ADD4CB196}"/>
            </c:ext>
          </c:extLst>
        </c:ser>
        <c:ser>
          <c:idx val="4"/>
          <c:order val="4"/>
          <c:tx>
            <c:strRef>
              <c:f>'Profit Forecast'!$A$8</c:f>
              <c:strCache>
                <c:ptCount val="1"/>
                <c:pt idx="0">
                  <c:v>Raffle Tickets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'Profit Forecast'!$B$3:$G$3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'Profit Forecast'!$B$8:$G$8</c:f>
              <c:numCache>
                <c:formatCode>[$€-2]\ #,##0;[Red][$€-2]\ #,##0</c:formatCode>
                <c:ptCount val="6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736-4A18-9B7E-CA6ADD4CB196}"/>
            </c:ext>
          </c:extLst>
        </c:ser>
        <c:ser>
          <c:idx val="5"/>
          <c:order val="5"/>
          <c:tx>
            <c:strRef>
              <c:f>'Profit Forecast'!$A$9</c:f>
              <c:strCache>
                <c:ptCount val="1"/>
                <c:pt idx="0">
                  <c:v>Car Hire margin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'Profit Forecast'!$B$3:$G$3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'Profit Forecast'!$B$9:$G$9</c:f>
              <c:numCache>
                <c:formatCode>[$€-2]\ #,##0;[Red][$€-2]\ #,##0</c:formatCode>
                <c:ptCount val="6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736-4A18-9B7E-CA6ADD4CB196}"/>
            </c:ext>
          </c:extLst>
        </c:ser>
        <c:ser>
          <c:idx val="6"/>
          <c:order val="6"/>
          <c:tx>
            <c:strRef>
              <c:f>'Profit Forecast'!$A$10</c:f>
              <c:strCache>
                <c:ptCount val="1"/>
                <c:pt idx="0">
                  <c:v>Hotel Referrals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'Profit Forecast'!$B$3:$G$3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'Profit Forecast'!$B$10:$G$10</c:f>
              <c:numCache>
                <c:formatCode>[$€-2]\ #,##0;[Red][$€-2]\ #,##0</c:formatCode>
                <c:ptCount val="6"/>
                <c:pt idx="0">
                  <c:v>6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18</c:v>
                </c:pt>
                <c:pt idx="5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736-4A18-9B7E-CA6ADD4CB196}"/>
            </c:ext>
          </c:extLst>
        </c:ser>
        <c:ser>
          <c:idx val="7"/>
          <c:order val="7"/>
          <c:tx>
            <c:strRef>
              <c:f>'Profit Forecast'!$A$11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'Profit Forecast'!$B$3:$G$3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'Profit Forecast'!$B$11:$G$11</c:f>
              <c:numCache>
                <c:formatCode>[$€-2]\ #,##0;[Red][$€-2]\ #,##0</c:formatCode>
                <c:ptCount val="6"/>
                <c:pt idx="0">
                  <c:v>495</c:v>
                </c:pt>
                <c:pt idx="1">
                  <c:v>587</c:v>
                </c:pt>
                <c:pt idx="2">
                  <c:v>661</c:v>
                </c:pt>
                <c:pt idx="3">
                  <c:v>738</c:v>
                </c:pt>
                <c:pt idx="4">
                  <c:v>844</c:v>
                </c:pt>
                <c:pt idx="5">
                  <c:v>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736-4A18-9B7E-CA6ADD4CB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13944672"/>
        <c:axId val="1813945088"/>
      </c:barChart>
      <c:catAx>
        <c:axId val="181394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3945088"/>
        <c:crosses val="autoZero"/>
        <c:auto val="1"/>
        <c:lblAlgn val="ctr"/>
        <c:lblOffset val="100"/>
        <c:noMultiLvlLbl val="0"/>
      </c:catAx>
      <c:valAx>
        <c:axId val="181394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€-2]\ #,##0;[Red][$€-2]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3944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21</xdr:row>
      <xdr:rowOff>161925</xdr:rowOff>
    </xdr:from>
    <xdr:to>
      <xdr:col>13</xdr:col>
      <xdr:colOff>428625</xdr:colOff>
      <xdr:row>32</xdr:row>
      <xdr:rowOff>85725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4476750"/>
          <a:ext cx="10982325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219075</xdr:colOff>
      <xdr:row>18</xdr:row>
      <xdr:rowOff>0</xdr:rowOff>
    </xdr:from>
    <xdr:to>
      <xdr:col>1</xdr:col>
      <xdr:colOff>939665</xdr:colOff>
      <xdr:row>20</xdr:row>
      <xdr:rowOff>137205</xdr:rowOff>
    </xdr:to>
    <xdr:pic macro="[0]!All_Question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3743325"/>
          <a:ext cx="1377815" cy="5182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161925</xdr:colOff>
      <xdr:row>4</xdr:row>
      <xdr:rowOff>76812</xdr:rowOff>
    </xdr:from>
    <xdr:to>
      <xdr:col>20</xdr:col>
      <xdr:colOff>523875</xdr:colOff>
      <xdr:row>19</xdr:row>
      <xdr:rowOff>152400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34325" y="838812"/>
          <a:ext cx="9839325" cy="18091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180975</xdr:colOff>
      <xdr:row>1</xdr:row>
      <xdr:rowOff>28575</xdr:rowOff>
    </xdr:from>
    <xdr:to>
      <xdr:col>7</xdr:col>
      <xdr:colOff>339590</xdr:colOff>
      <xdr:row>3</xdr:row>
      <xdr:rowOff>165780</xdr:rowOff>
    </xdr:to>
    <xdr:pic macro="[0]!All_Question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81900" y="219075"/>
          <a:ext cx="1377815" cy="5182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504825</xdr:colOff>
      <xdr:row>1</xdr:row>
      <xdr:rowOff>185737</xdr:rowOff>
    </xdr:from>
    <xdr:to>
      <xdr:col>22</xdr:col>
      <xdr:colOff>200025</xdr:colOff>
      <xdr:row>24</xdr:row>
      <xdr:rowOff>28575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152400</xdr:colOff>
      <xdr:row>17</xdr:row>
      <xdr:rowOff>90392</xdr:rowOff>
    </xdr:from>
    <xdr:to>
      <xdr:col>11</xdr:col>
      <xdr:colOff>590550</xdr:colOff>
      <xdr:row>27</xdr:row>
      <xdr:rowOff>19050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3481292"/>
          <a:ext cx="9972675" cy="18336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38100</xdr:colOff>
      <xdr:row>4</xdr:row>
      <xdr:rowOff>61817</xdr:rowOff>
    </xdr:from>
    <xdr:to>
      <xdr:col>10</xdr:col>
      <xdr:colOff>196715</xdr:colOff>
      <xdr:row>7</xdr:row>
      <xdr:rowOff>8522</xdr:rowOff>
    </xdr:to>
    <xdr:pic macro="[0]!All_Questions">
      <xdr:nvPicPr>
        <xdr:cNvPr id="5" name="Picture 4" hidden="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43825" y="976217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13</xdr:row>
      <xdr:rowOff>95250</xdr:rowOff>
    </xdr:from>
    <xdr:to>
      <xdr:col>0</xdr:col>
      <xdr:colOff>1539740</xdr:colOff>
      <xdr:row>16</xdr:row>
      <xdr:rowOff>41955</xdr:rowOff>
    </xdr:to>
    <xdr:pic macro="[0]!All_Questions_Next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2724150"/>
          <a:ext cx="1377815" cy="51820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</xdr:colOff>
      <xdr:row>17</xdr:row>
      <xdr:rowOff>104775</xdr:rowOff>
    </xdr:from>
    <xdr:to>
      <xdr:col>18</xdr:col>
      <xdr:colOff>9525</xdr:colOff>
      <xdr:row>28</xdr:row>
      <xdr:rowOff>28575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3343275"/>
          <a:ext cx="10982325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85725</xdr:colOff>
      <xdr:row>13</xdr:row>
      <xdr:rowOff>161925</xdr:rowOff>
    </xdr:from>
    <xdr:to>
      <xdr:col>3</xdr:col>
      <xdr:colOff>244340</xdr:colOff>
      <xdr:row>16</xdr:row>
      <xdr:rowOff>108630</xdr:rowOff>
    </xdr:to>
    <xdr:pic macro="[0]!All_Questions_Las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" y="2638425"/>
          <a:ext cx="1377815" cy="5182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../../../../In%20Prep%20Exam%20Files/Resources/Working%20with%20Workbooks%20and%20Worksheets%20Objective%20domain%201.1/Test%20Question.xlsx" TargetMode="External"/><Relationship Id="rId5" Type="http://schemas.openxmlformats.org/officeDocument/2006/relationships/comments" Target="../comments3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5"/>
  <sheetViews>
    <sheetView workbookViewId="0">
      <selection activeCell="V6" sqref="V6"/>
    </sheetView>
  </sheetViews>
  <sheetFormatPr defaultRowHeight="15" x14ac:dyDescent="0.25"/>
  <cols>
    <col min="1" max="1" width="9.85546875" customWidth="1"/>
    <col min="2" max="2" width="14.7109375" customWidth="1"/>
    <col min="3" max="3" width="14.42578125" customWidth="1"/>
    <col min="4" max="4" width="21.28515625" customWidth="1"/>
    <col min="5" max="5" width="13.42578125" customWidth="1"/>
    <col min="6" max="16" width="11" bestFit="1" customWidth="1"/>
    <col min="17" max="17" width="12.140625" bestFit="1" customWidth="1"/>
  </cols>
  <sheetData>
    <row r="1" spans="1:17" ht="30" customHeight="1" x14ac:dyDescent="0.35">
      <c r="D1" s="45"/>
      <c r="E1" s="44" t="s">
        <v>9</v>
      </c>
      <c r="F1" s="44"/>
      <c r="G1" s="44"/>
      <c r="I1" s="44"/>
      <c r="J1" s="1"/>
      <c r="K1" s="1"/>
      <c r="L1" s="1"/>
      <c r="M1" s="1"/>
      <c r="N1" s="1"/>
      <c r="O1" s="1"/>
      <c r="P1" s="1"/>
      <c r="Q1" s="1"/>
    </row>
    <row r="2" spans="1:17" ht="24.75" customHeight="1" x14ac:dyDescent="0.25">
      <c r="B2" s="5" t="s">
        <v>10</v>
      </c>
      <c r="C2" s="5" t="s">
        <v>11</v>
      </c>
      <c r="D2" s="3" t="s">
        <v>12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 t="s">
        <v>13</v>
      </c>
    </row>
    <row r="3" spans="1:17" x14ac:dyDescent="0.25">
      <c r="A3" t="s">
        <v>14</v>
      </c>
      <c r="B3" s="7" t="s">
        <v>15</v>
      </c>
      <c r="C3" s="8"/>
      <c r="D3" s="3" t="s">
        <v>16</v>
      </c>
      <c r="E3" s="10">
        <v>143</v>
      </c>
      <c r="F3" s="10">
        <f>E3*1.1</f>
        <v>157.30000000000001</v>
      </c>
      <c r="G3" s="10">
        <v>144</v>
      </c>
      <c r="H3" s="10">
        <f t="shared" ref="H3" si="0">G3*1.1</f>
        <v>158.4</v>
      </c>
      <c r="I3" s="10">
        <v>145</v>
      </c>
      <c r="J3" s="10">
        <f t="shared" ref="J3" si="1">I3*1.1</f>
        <v>159.5</v>
      </c>
      <c r="K3" s="10">
        <v>146</v>
      </c>
      <c r="L3" s="10">
        <f t="shared" ref="L3" si="2">K3*1.1</f>
        <v>160.60000000000002</v>
      </c>
      <c r="M3" s="10">
        <v>147</v>
      </c>
      <c r="N3" s="10">
        <f t="shared" ref="N3" si="3">M3*1.1</f>
        <v>161.70000000000002</v>
      </c>
      <c r="O3" s="10">
        <v>148</v>
      </c>
      <c r="P3" s="40">
        <f t="shared" ref="P3" si="4">O3*1.1</f>
        <v>162.80000000000001</v>
      </c>
      <c r="Q3" s="41">
        <f>SUM(E3:P3)</f>
        <v>1833.3000000000002</v>
      </c>
    </row>
    <row r="4" spans="1:17" x14ac:dyDescent="0.25">
      <c r="B4" s="7"/>
      <c r="C4" s="8"/>
      <c r="D4" s="3" t="s">
        <v>17</v>
      </c>
      <c r="E4" s="10">
        <v>241</v>
      </c>
      <c r="F4" s="10">
        <f>E4*1.12</f>
        <v>269.92</v>
      </c>
      <c r="G4" s="10">
        <v>241</v>
      </c>
      <c r="H4" s="10">
        <f t="shared" ref="H4" si="5">G4*1.12</f>
        <v>269.92</v>
      </c>
      <c r="I4" s="10">
        <v>241</v>
      </c>
      <c r="J4" s="10">
        <f t="shared" ref="J4" si="6">I4*1.12</f>
        <v>269.92</v>
      </c>
      <c r="K4" s="10">
        <v>241</v>
      </c>
      <c r="L4" s="10">
        <f t="shared" ref="L4" si="7">K4*1.12</f>
        <v>269.92</v>
      </c>
      <c r="M4" s="10">
        <v>241</v>
      </c>
      <c r="N4" s="10">
        <f t="shared" ref="N4" si="8">M4*1.12</f>
        <v>269.92</v>
      </c>
      <c r="O4" s="10">
        <v>241</v>
      </c>
      <c r="P4" s="40">
        <f t="shared" ref="P4" si="9">O4*1.12</f>
        <v>269.92</v>
      </c>
      <c r="Q4" s="41">
        <f t="shared" ref="Q4:Q14" si="10">SUM(E4:P4)</f>
        <v>3065.5200000000004</v>
      </c>
    </row>
    <row r="5" spans="1:17" x14ac:dyDescent="0.25">
      <c r="B5" s="7"/>
      <c r="C5" s="8"/>
      <c r="D5" s="3" t="s">
        <v>18</v>
      </c>
      <c r="E5" s="10">
        <v>122</v>
      </c>
      <c r="F5" s="10">
        <f t="shared" ref="F5:P8" si="11">E5*1.12</f>
        <v>136.64000000000001</v>
      </c>
      <c r="G5" s="10">
        <v>122</v>
      </c>
      <c r="H5" s="10">
        <f t="shared" si="11"/>
        <v>136.64000000000001</v>
      </c>
      <c r="I5" s="10">
        <v>122</v>
      </c>
      <c r="J5" s="10">
        <f t="shared" si="11"/>
        <v>136.64000000000001</v>
      </c>
      <c r="K5" s="10">
        <v>122</v>
      </c>
      <c r="L5" s="10">
        <f t="shared" si="11"/>
        <v>136.64000000000001</v>
      </c>
      <c r="M5" s="10">
        <v>122</v>
      </c>
      <c r="N5" s="10">
        <f t="shared" si="11"/>
        <v>136.64000000000001</v>
      </c>
      <c r="O5" s="10">
        <v>122</v>
      </c>
      <c r="P5" s="40">
        <f t="shared" si="11"/>
        <v>136.64000000000001</v>
      </c>
      <c r="Q5" s="41">
        <f t="shared" si="10"/>
        <v>1551.8400000000001</v>
      </c>
    </row>
    <row r="6" spans="1:17" x14ac:dyDescent="0.25">
      <c r="B6" s="7"/>
      <c r="C6" s="8"/>
      <c r="D6" s="3" t="s">
        <v>19</v>
      </c>
      <c r="E6" s="10">
        <v>33</v>
      </c>
      <c r="F6" s="10">
        <f t="shared" si="11"/>
        <v>36.96</v>
      </c>
      <c r="G6" s="10">
        <v>33</v>
      </c>
      <c r="H6" s="10">
        <f t="shared" si="11"/>
        <v>36.96</v>
      </c>
      <c r="I6" s="10">
        <v>33</v>
      </c>
      <c r="J6" s="10">
        <f t="shared" si="11"/>
        <v>36.96</v>
      </c>
      <c r="K6" s="10">
        <v>33</v>
      </c>
      <c r="L6" s="10">
        <f t="shared" si="11"/>
        <v>36.96</v>
      </c>
      <c r="M6" s="10">
        <v>33</v>
      </c>
      <c r="N6" s="10">
        <f t="shared" si="11"/>
        <v>36.96</v>
      </c>
      <c r="O6" s="10">
        <v>33</v>
      </c>
      <c r="P6" s="40">
        <f t="shared" si="11"/>
        <v>36.96</v>
      </c>
      <c r="Q6" s="41">
        <f t="shared" si="10"/>
        <v>419.76</v>
      </c>
    </row>
    <row r="7" spans="1:17" x14ac:dyDescent="0.25">
      <c r="B7" s="7"/>
      <c r="C7" s="8"/>
      <c r="D7" s="3" t="s">
        <v>20</v>
      </c>
      <c r="E7" s="10">
        <v>255</v>
      </c>
      <c r="F7" s="10">
        <f t="shared" si="11"/>
        <v>285.60000000000002</v>
      </c>
      <c r="G7" s="10">
        <v>255</v>
      </c>
      <c r="H7" s="10">
        <f t="shared" si="11"/>
        <v>285.60000000000002</v>
      </c>
      <c r="I7" s="10">
        <v>255</v>
      </c>
      <c r="J7" s="10">
        <f t="shared" si="11"/>
        <v>285.60000000000002</v>
      </c>
      <c r="K7" s="10">
        <v>255</v>
      </c>
      <c r="L7" s="10">
        <f t="shared" si="11"/>
        <v>285.60000000000002</v>
      </c>
      <c r="M7" s="10">
        <v>255</v>
      </c>
      <c r="N7" s="10">
        <f t="shared" si="11"/>
        <v>285.60000000000002</v>
      </c>
      <c r="O7" s="10">
        <v>255</v>
      </c>
      <c r="P7" s="40">
        <f t="shared" si="11"/>
        <v>285.60000000000002</v>
      </c>
      <c r="Q7" s="41">
        <f t="shared" si="10"/>
        <v>3243.6</v>
      </c>
    </row>
    <row r="8" spans="1:17" x14ac:dyDescent="0.25">
      <c r="B8" s="7"/>
      <c r="C8" s="8"/>
      <c r="D8" s="3" t="s">
        <v>21</v>
      </c>
      <c r="E8" s="10">
        <v>12</v>
      </c>
      <c r="F8" s="10">
        <f t="shared" si="11"/>
        <v>13.440000000000001</v>
      </c>
      <c r="G8" s="10">
        <v>12</v>
      </c>
      <c r="H8" s="10">
        <f t="shared" si="11"/>
        <v>13.440000000000001</v>
      </c>
      <c r="I8" s="10">
        <v>12</v>
      </c>
      <c r="J8" s="10">
        <f t="shared" si="11"/>
        <v>13.440000000000001</v>
      </c>
      <c r="K8" s="10">
        <v>12</v>
      </c>
      <c r="L8" s="10">
        <f t="shared" si="11"/>
        <v>13.440000000000001</v>
      </c>
      <c r="M8" s="10">
        <v>12</v>
      </c>
      <c r="N8" s="10">
        <f t="shared" si="11"/>
        <v>13.440000000000001</v>
      </c>
      <c r="O8" s="10">
        <v>12</v>
      </c>
      <c r="P8" s="40">
        <f t="shared" si="11"/>
        <v>13.440000000000001</v>
      </c>
      <c r="Q8" s="41">
        <f t="shared" si="10"/>
        <v>152.63999999999999</v>
      </c>
    </row>
    <row r="9" spans="1:17" x14ac:dyDescent="0.25">
      <c r="B9" s="7"/>
      <c r="C9" s="8"/>
      <c r="D9" s="3" t="s">
        <v>22</v>
      </c>
      <c r="E9" s="10">
        <v>32</v>
      </c>
      <c r="F9" s="10">
        <f>E9*1.15</f>
        <v>36.799999999999997</v>
      </c>
      <c r="G9" s="10">
        <v>32</v>
      </c>
      <c r="H9" s="10">
        <f t="shared" ref="H9" si="12">G9*1.15</f>
        <v>36.799999999999997</v>
      </c>
      <c r="I9" s="10">
        <v>32</v>
      </c>
      <c r="J9" s="10">
        <f t="shared" ref="J9" si="13">I9*1.15</f>
        <v>36.799999999999997</v>
      </c>
      <c r="K9" s="10">
        <v>32</v>
      </c>
      <c r="L9" s="10">
        <f t="shared" ref="L9" si="14">K9*1.15</f>
        <v>36.799999999999997</v>
      </c>
      <c r="M9" s="10">
        <v>32</v>
      </c>
      <c r="N9" s="10">
        <f t="shared" ref="N9" si="15">M9*1.15</f>
        <v>36.799999999999997</v>
      </c>
      <c r="O9" s="10">
        <v>32</v>
      </c>
      <c r="P9" s="40">
        <f t="shared" ref="P9" si="16">O9*1.15</f>
        <v>36.799999999999997</v>
      </c>
      <c r="Q9" s="41">
        <f t="shared" si="10"/>
        <v>412.8</v>
      </c>
    </row>
    <row r="10" spans="1:17" x14ac:dyDescent="0.25">
      <c r="B10" s="7"/>
      <c r="C10" s="8"/>
      <c r="D10" s="3" t="s">
        <v>23</v>
      </c>
      <c r="E10" s="10">
        <v>143</v>
      </c>
      <c r="F10" s="10">
        <f t="shared" ref="F10:P14" si="17">E10*1.15</f>
        <v>164.45</v>
      </c>
      <c r="G10" s="10">
        <v>143</v>
      </c>
      <c r="H10" s="10">
        <f t="shared" si="17"/>
        <v>164.45</v>
      </c>
      <c r="I10" s="10">
        <v>143</v>
      </c>
      <c r="J10" s="10">
        <f t="shared" si="17"/>
        <v>164.45</v>
      </c>
      <c r="K10" s="10">
        <v>143</v>
      </c>
      <c r="L10" s="10">
        <f t="shared" si="17"/>
        <v>164.45</v>
      </c>
      <c r="M10" s="10">
        <v>143</v>
      </c>
      <c r="N10" s="10">
        <f t="shared" si="17"/>
        <v>164.45</v>
      </c>
      <c r="O10" s="10">
        <v>143</v>
      </c>
      <c r="P10" s="40">
        <f t="shared" si="17"/>
        <v>164.45</v>
      </c>
      <c r="Q10" s="41">
        <f t="shared" si="10"/>
        <v>1844.7</v>
      </c>
    </row>
    <row r="11" spans="1:17" x14ac:dyDescent="0.25">
      <c r="B11" s="7"/>
      <c r="C11" s="8"/>
      <c r="D11" s="3" t="s">
        <v>24</v>
      </c>
      <c r="E11" s="10">
        <v>211</v>
      </c>
      <c r="F11" s="10">
        <f t="shared" si="17"/>
        <v>242.64999999999998</v>
      </c>
      <c r="G11" s="10">
        <v>211</v>
      </c>
      <c r="H11" s="10">
        <f t="shared" si="17"/>
        <v>242.64999999999998</v>
      </c>
      <c r="I11" s="10">
        <v>211</v>
      </c>
      <c r="J11" s="10">
        <f t="shared" si="17"/>
        <v>242.64999999999998</v>
      </c>
      <c r="K11" s="10">
        <v>211</v>
      </c>
      <c r="L11" s="10">
        <f t="shared" si="17"/>
        <v>242.64999999999998</v>
      </c>
      <c r="M11" s="10">
        <v>211</v>
      </c>
      <c r="N11" s="10">
        <f t="shared" si="17"/>
        <v>242.64999999999998</v>
      </c>
      <c r="O11" s="10">
        <v>211</v>
      </c>
      <c r="P11" s="40">
        <f t="shared" si="17"/>
        <v>242.64999999999998</v>
      </c>
      <c r="Q11" s="41">
        <f t="shared" si="10"/>
        <v>2721.9</v>
      </c>
    </row>
    <row r="12" spans="1:17" x14ac:dyDescent="0.25">
      <c r="B12" s="7"/>
      <c r="C12" s="8"/>
      <c r="D12" s="3" t="s">
        <v>25</v>
      </c>
      <c r="E12" s="10">
        <v>76</v>
      </c>
      <c r="F12" s="10">
        <f t="shared" si="17"/>
        <v>87.399999999999991</v>
      </c>
      <c r="G12" s="10">
        <v>76</v>
      </c>
      <c r="H12" s="10">
        <f t="shared" si="17"/>
        <v>87.399999999999991</v>
      </c>
      <c r="I12" s="10">
        <v>76</v>
      </c>
      <c r="J12" s="10">
        <f t="shared" si="17"/>
        <v>87.399999999999991</v>
      </c>
      <c r="K12" s="10">
        <v>76</v>
      </c>
      <c r="L12" s="10">
        <f t="shared" si="17"/>
        <v>87.399999999999991</v>
      </c>
      <c r="M12" s="10">
        <v>76</v>
      </c>
      <c r="N12" s="10">
        <f t="shared" si="17"/>
        <v>87.399999999999991</v>
      </c>
      <c r="O12" s="10">
        <v>76</v>
      </c>
      <c r="P12" s="40">
        <f t="shared" si="17"/>
        <v>87.399999999999991</v>
      </c>
      <c r="Q12" s="41">
        <f t="shared" si="10"/>
        <v>980.39999999999986</v>
      </c>
    </row>
    <row r="13" spans="1:17" x14ac:dyDescent="0.25">
      <c r="B13" s="7"/>
      <c r="C13" s="8"/>
      <c r="D13" s="3" t="s">
        <v>26</v>
      </c>
      <c r="E13" s="10">
        <v>167</v>
      </c>
      <c r="F13" s="10">
        <f t="shared" si="17"/>
        <v>192.04999999999998</v>
      </c>
      <c r="G13" s="10">
        <v>167</v>
      </c>
      <c r="H13" s="10">
        <f t="shared" si="17"/>
        <v>192.04999999999998</v>
      </c>
      <c r="I13" s="10">
        <v>167</v>
      </c>
      <c r="J13" s="10">
        <f t="shared" si="17"/>
        <v>192.04999999999998</v>
      </c>
      <c r="K13" s="10">
        <v>167</v>
      </c>
      <c r="L13" s="10">
        <f t="shared" si="17"/>
        <v>192.04999999999998</v>
      </c>
      <c r="M13" s="10">
        <v>167</v>
      </c>
      <c r="N13" s="10">
        <f t="shared" si="17"/>
        <v>192.04999999999998</v>
      </c>
      <c r="O13" s="10">
        <v>167</v>
      </c>
      <c r="P13" s="40">
        <f t="shared" si="17"/>
        <v>192.04999999999998</v>
      </c>
      <c r="Q13" s="41">
        <f t="shared" si="10"/>
        <v>2154.2999999999997</v>
      </c>
    </row>
    <row r="14" spans="1:17" x14ac:dyDescent="0.25">
      <c r="B14" s="7"/>
      <c r="C14" s="8"/>
      <c r="D14" s="3" t="s">
        <v>27</v>
      </c>
      <c r="E14" s="10">
        <v>435</v>
      </c>
      <c r="F14" s="10">
        <f t="shared" si="17"/>
        <v>500.24999999999994</v>
      </c>
      <c r="G14" s="10">
        <v>435</v>
      </c>
      <c r="H14" s="10">
        <f t="shared" si="17"/>
        <v>500.24999999999994</v>
      </c>
      <c r="I14" s="10">
        <v>435</v>
      </c>
      <c r="J14" s="10">
        <f t="shared" si="17"/>
        <v>500.24999999999994</v>
      </c>
      <c r="K14" s="10">
        <v>435</v>
      </c>
      <c r="L14" s="10">
        <f t="shared" si="17"/>
        <v>500.24999999999994</v>
      </c>
      <c r="M14" s="10">
        <v>435</v>
      </c>
      <c r="N14" s="10">
        <f t="shared" si="17"/>
        <v>500.24999999999994</v>
      </c>
      <c r="O14" s="10">
        <v>435</v>
      </c>
      <c r="P14" s="40">
        <f t="shared" si="17"/>
        <v>500.24999999999994</v>
      </c>
      <c r="Q14" s="41">
        <f t="shared" si="10"/>
        <v>5611.5</v>
      </c>
    </row>
    <row r="15" spans="1:17" x14ac:dyDescent="0.25">
      <c r="D15" s="3" t="s">
        <v>0</v>
      </c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41">
        <f>SUM(Q3:Q14)</f>
        <v>23992.26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E99"/>
  <sheetViews>
    <sheetView workbookViewId="0">
      <selection activeCell="A55" sqref="A55"/>
    </sheetView>
  </sheetViews>
  <sheetFormatPr defaultRowHeight="15" x14ac:dyDescent="0.25"/>
  <cols>
    <col min="1" max="1" width="33.7109375" customWidth="1"/>
    <col min="2" max="2" width="15.140625" customWidth="1"/>
    <col min="3" max="3" width="27.7109375" bestFit="1" customWidth="1"/>
    <col min="4" max="4" width="17" customWidth="1"/>
    <col min="5" max="5" width="23" customWidth="1"/>
    <col min="8" max="8" width="14.140625" customWidth="1"/>
  </cols>
  <sheetData>
    <row r="1" spans="1:5" x14ac:dyDescent="0.25">
      <c r="A1" t="s">
        <v>28</v>
      </c>
      <c r="B1" s="11" t="s">
        <v>102</v>
      </c>
      <c r="C1" s="11" t="s">
        <v>29</v>
      </c>
      <c r="D1" s="11" t="s">
        <v>30</v>
      </c>
      <c r="E1" s="12" t="s">
        <v>31</v>
      </c>
    </row>
    <row r="2" spans="1:5" x14ac:dyDescent="0.25">
      <c r="A2" s="13" t="s">
        <v>16</v>
      </c>
      <c r="B2" s="14">
        <v>5317</v>
      </c>
      <c r="C2" s="14" t="s">
        <v>32</v>
      </c>
      <c r="D2" s="15">
        <v>0.19583333333333333</v>
      </c>
      <c r="E2" s="16">
        <v>78</v>
      </c>
    </row>
    <row r="3" spans="1:5" x14ac:dyDescent="0.25">
      <c r="A3" s="17" t="s">
        <v>24</v>
      </c>
      <c r="B3" s="18">
        <v>285</v>
      </c>
      <c r="C3" s="19" t="s">
        <v>33</v>
      </c>
      <c r="D3" s="20">
        <v>3.8194444444444441E-2</v>
      </c>
      <c r="E3" s="21">
        <v>165</v>
      </c>
    </row>
    <row r="4" spans="1:5" x14ac:dyDescent="0.25">
      <c r="A4" s="22" t="s">
        <v>24</v>
      </c>
      <c r="B4" s="23">
        <v>1</v>
      </c>
      <c r="C4" s="24" t="s">
        <v>34</v>
      </c>
      <c r="D4" s="24">
        <v>3.8194444444444441E-2</v>
      </c>
      <c r="E4" s="25">
        <v>245</v>
      </c>
    </row>
    <row r="5" spans="1:5" ht="16.5" customHeight="1" x14ac:dyDescent="0.25">
      <c r="A5" s="22" t="s">
        <v>24</v>
      </c>
      <c r="B5" s="26">
        <v>135</v>
      </c>
      <c r="C5" s="27" t="s">
        <v>35</v>
      </c>
      <c r="D5" s="24">
        <v>0.25416666666666665</v>
      </c>
      <c r="E5" s="25">
        <v>323</v>
      </c>
    </row>
    <row r="6" spans="1:5" x14ac:dyDescent="0.25">
      <c r="A6" s="28" t="s">
        <v>24</v>
      </c>
      <c r="B6" s="29">
        <v>9079</v>
      </c>
      <c r="C6" s="30" t="s">
        <v>36</v>
      </c>
      <c r="D6" s="31">
        <v>0.25486111111111109</v>
      </c>
      <c r="E6" s="32">
        <v>245</v>
      </c>
    </row>
    <row r="7" spans="1:5" x14ac:dyDescent="0.25">
      <c r="A7" s="22" t="s">
        <v>24</v>
      </c>
      <c r="B7" s="26">
        <v>803</v>
      </c>
      <c r="C7" s="27" t="s">
        <v>36</v>
      </c>
      <c r="D7" s="24">
        <v>0.25486111111111109</v>
      </c>
      <c r="E7" s="25">
        <v>65</v>
      </c>
    </row>
    <row r="8" spans="1:5" x14ac:dyDescent="0.25">
      <c r="A8" s="28" t="s">
        <v>24</v>
      </c>
      <c r="B8" s="29">
        <v>201</v>
      </c>
      <c r="C8" s="30" t="s">
        <v>37</v>
      </c>
      <c r="D8" s="31">
        <v>0.27083333333333331</v>
      </c>
      <c r="E8" s="32">
        <v>245</v>
      </c>
    </row>
    <row r="9" spans="1:5" x14ac:dyDescent="0.25">
      <c r="A9" s="22" t="s">
        <v>24</v>
      </c>
      <c r="B9" s="26">
        <v>8802</v>
      </c>
      <c r="C9" s="27" t="s">
        <v>37</v>
      </c>
      <c r="D9" s="24">
        <v>0.27083333333333331</v>
      </c>
      <c r="E9" s="25">
        <v>65</v>
      </c>
    </row>
    <row r="10" spans="1:5" x14ac:dyDescent="0.25">
      <c r="A10" s="22" t="s">
        <v>24</v>
      </c>
      <c r="B10" s="23">
        <v>7066</v>
      </c>
      <c r="C10" s="23" t="s">
        <v>37</v>
      </c>
      <c r="D10" s="24">
        <v>0.27430555555555552</v>
      </c>
      <c r="E10" s="25">
        <v>222</v>
      </c>
    </row>
    <row r="11" spans="1:5" x14ac:dyDescent="0.25">
      <c r="A11" s="28" t="s">
        <v>24</v>
      </c>
      <c r="B11" s="33">
        <v>811</v>
      </c>
      <c r="C11" s="31" t="s">
        <v>38</v>
      </c>
      <c r="D11" s="31">
        <v>0.27777777777777779</v>
      </c>
      <c r="E11" s="32">
        <v>245</v>
      </c>
    </row>
    <row r="12" spans="1:5" x14ac:dyDescent="0.25">
      <c r="A12" s="22" t="s">
        <v>24</v>
      </c>
      <c r="B12" s="26">
        <v>719</v>
      </c>
      <c r="C12" s="27" t="s">
        <v>39</v>
      </c>
      <c r="D12" s="24">
        <v>0.28819444444444448</v>
      </c>
      <c r="E12" s="25">
        <v>245</v>
      </c>
    </row>
    <row r="13" spans="1:5" x14ac:dyDescent="0.25">
      <c r="A13" s="23" t="s">
        <v>24</v>
      </c>
      <c r="B13" s="26">
        <v>147</v>
      </c>
      <c r="C13" s="27" t="s">
        <v>40</v>
      </c>
      <c r="D13" s="24">
        <v>0.30555555555555552</v>
      </c>
      <c r="E13" s="23">
        <v>121</v>
      </c>
    </row>
    <row r="14" spans="1:5" hidden="1" x14ac:dyDescent="0.25">
      <c r="A14" s="23" t="s">
        <v>24</v>
      </c>
      <c r="B14" s="23">
        <v>1081</v>
      </c>
      <c r="C14" s="24" t="s">
        <v>41</v>
      </c>
      <c r="D14" s="24">
        <v>0.31180555555555556</v>
      </c>
      <c r="E14" s="23">
        <v>23</v>
      </c>
    </row>
    <row r="15" spans="1:5" hidden="1" x14ac:dyDescent="0.25">
      <c r="A15" s="33" t="s">
        <v>24</v>
      </c>
      <c r="B15" s="29">
        <v>1279</v>
      </c>
      <c r="C15" s="30" t="s">
        <v>42</v>
      </c>
      <c r="D15" s="31">
        <v>0.3125</v>
      </c>
      <c r="E15" s="33">
        <v>45</v>
      </c>
    </row>
    <row r="16" spans="1:5" hidden="1" x14ac:dyDescent="0.25">
      <c r="A16" s="33" t="s">
        <v>24</v>
      </c>
      <c r="B16" s="29">
        <v>5863</v>
      </c>
      <c r="C16" s="30" t="s">
        <v>42</v>
      </c>
      <c r="D16" s="31">
        <v>0.3125</v>
      </c>
      <c r="E16" s="33">
        <v>56</v>
      </c>
    </row>
    <row r="17" spans="1:5" hidden="1" x14ac:dyDescent="0.25">
      <c r="A17" s="22" t="s">
        <v>24</v>
      </c>
      <c r="B17" s="23">
        <v>3074</v>
      </c>
      <c r="C17" s="24" t="s">
        <v>42</v>
      </c>
      <c r="D17" s="24">
        <v>0.3125</v>
      </c>
      <c r="E17" s="25">
        <v>23</v>
      </c>
    </row>
    <row r="18" spans="1:5" hidden="1" x14ac:dyDescent="0.25">
      <c r="A18" s="34" t="s">
        <v>23</v>
      </c>
      <c r="B18" s="29">
        <v>6870</v>
      </c>
      <c r="C18" s="30" t="s">
        <v>33</v>
      </c>
      <c r="D18" s="31">
        <v>3.8194444444444441E-2</v>
      </c>
      <c r="E18" s="32">
        <v>323</v>
      </c>
    </row>
    <row r="19" spans="1:5" hidden="1" x14ac:dyDescent="0.25">
      <c r="A19" s="35" t="s">
        <v>23</v>
      </c>
      <c r="B19" s="23">
        <v>4933</v>
      </c>
      <c r="C19" s="23" t="s">
        <v>32</v>
      </c>
      <c r="D19" s="24">
        <v>0.19583333333333333</v>
      </c>
      <c r="E19" s="25">
        <v>39</v>
      </c>
    </row>
    <row r="20" spans="1:5" x14ac:dyDescent="0.25">
      <c r="A20" s="34" t="s">
        <v>23</v>
      </c>
      <c r="B20" s="29">
        <v>6053</v>
      </c>
      <c r="C20" s="30" t="s">
        <v>37</v>
      </c>
      <c r="D20" s="31">
        <v>0.29166666666666669</v>
      </c>
      <c r="E20" s="32">
        <v>65</v>
      </c>
    </row>
    <row r="21" spans="1:5" x14ac:dyDescent="0.25">
      <c r="A21" s="34" t="s">
        <v>23</v>
      </c>
      <c r="B21" s="29">
        <v>1277</v>
      </c>
      <c r="C21" s="30" t="s">
        <v>43</v>
      </c>
      <c r="D21" s="31">
        <v>0.29166666666666669</v>
      </c>
      <c r="E21" s="32">
        <v>65</v>
      </c>
    </row>
    <row r="22" spans="1:5" x14ac:dyDescent="0.25">
      <c r="A22" s="35" t="s">
        <v>23</v>
      </c>
      <c r="B22" s="26">
        <v>2965</v>
      </c>
      <c r="C22" s="27" t="s">
        <v>42</v>
      </c>
      <c r="D22" s="24">
        <v>0.29166666666666669</v>
      </c>
      <c r="E22" s="25">
        <v>65</v>
      </c>
    </row>
    <row r="23" spans="1:5" x14ac:dyDescent="0.25">
      <c r="A23" s="35" t="s">
        <v>25</v>
      </c>
      <c r="B23" s="26">
        <v>383</v>
      </c>
      <c r="C23" s="27" t="s">
        <v>44</v>
      </c>
      <c r="D23" s="24">
        <v>4.8611111111111112E-2</v>
      </c>
      <c r="E23" s="25">
        <v>43</v>
      </c>
    </row>
    <row r="24" spans="1:5" x14ac:dyDescent="0.25">
      <c r="A24" s="34" t="s">
        <v>25</v>
      </c>
      <c r="B24" s="29">
        <v>833</v>
      </c>
      <c r="C24" s="30" t="s">
        <v>45</v>
      </c>
      <c r="D24" s="31">
        <v>0.28819444444444448</v>
      </c>
      <c r="E24" s="32">
        <v>43</v>
      </c>
    </row>
    <row r="25" spans="1:5" x14ac:dyDescent="0.25">
      <c r="A25" s="34" t="s">
        <v>25</v>
      </c>
      <c r="B25" s="29">
        <v>6107</v>
      </c>
      <c r="C25" s="30" t="s">
        <v>46</v>
      </c>
      <c r="D25" s="31">
        <v>0.29166666666666669</v>
      </c>
      <c r="E25" s="32">
        <v>78</v>
      </c>
    </row>
    <row r="26" spans="1:5" x14ac:dyDescent="0.25">
      <c r="A26" s="34" t="s">
        <v>25</v>
      </c>
      <c r="B26" s="29">
        <v>2663</v>
      </c>
      <c r="C26" s="30" t="s">
        <v>37</v>
      </c>
      <c r="D26" s="31">
        <v>0.29166666666666669</v>
      </c>
      <c r="E26" s="32">
        <v>245</v>
      </c>
    </row>
    <row r="27" spans="1:5" x14ac:dyDescent="0.25">
      <c r="A27" s="34" t="s">
        <v>25</v>
      </c>
      <c r="B27" s="29">
        <v>8194</v>
      </c>
      <c r="C27" s="30" t="s">
        <v>43</v>
      </c>
      <c r="D27" s="31">
        <v>0.29166666666666669</v>
      </c>
      <c r="E27" s="32">
        <v>78</v>
      </c>
    </row>
    <row r="28" spans="1:5" x14ac:dyDescent="0.25">
      <c r="A28" s="34" t="s">
        <v>25</v>
      </c>
      <c r="B28" s="33">
        <v>867</v>
      </c>
      <c r="C28" s="31" t="s">
        <v>47</v>
      </c>
      <c r="D28" s="31">
        <v>0.31180555555555556</v>
      </c>
      <c r="E28" s="32">
        <v>65</v>
      </c>
    </row>
    <row r="29" spans="1:5" x14ac:dyDescent="0.25">
      <c r="A29" s="35" t="s">
        <v>25</v>
      </c>
      <c r="B29" s="26">
        <v>8018</v>
      </c>
      <c r="C29" s="27" t="s">
        <v>42</v>
      </c>
      <c r="D29" s="24">
        <v>0.3125</v>
      </c>
      <c r="E29" s="25">
        <v>45</v>
      </c>
    </row>
    <row r="30" spans="1:5" x14ac:dyDescent="0.25">
      <c r="A30" s="35" t="s">
        <v>25</v>
      </c>
      <c r="B30" s="23">
        <v>3096</v>
      </c>
      <c r="C30" s="24" t="s">
        <v>37</v>
      </c>
      <c r="D30" s="24">
        <v>0.31597222222222221</v>
      </c>
      <c r="E30" s="25">
        <v>121</v>
      </c>
    </row>
    <row r="31" spans="1:5" x14ac:dyDescent="0.25">
      <c r="A31" s="35" t="s">
        <v>19</v>
      </c>
      <c r="B31" s="26">
        <v>655</v>
      </c>
      <c r="C31" s="27" t="s">
        <v>48</v>
      </c>
      <c r="D31" s="24">
        <v>0.29166666666666669</v>
      </c>
      <c r="E31" s="25">
        <v>245</v>
      </c>
    </row>
    <row r="32" spans="1:5" x14ac:dyDescent="0.25">
      <c r="A32" s="35" t="s">
        <v>19</v>
      </c>
      <c r="B32" s="26">
        <v>1103</v>
      </c>
      <c r="C32" s="27" t="s">
        <v>46</v>
      </c>
      <c r="D32" s="24">
        <v>0.29166666666666669</v>
      </c>
      <c r="E32" s="25">
        <v>43</v>
      </c>
    </row>
    <row r="33" spans="1:5" x14ac:dyDescent="0.25">
      <c r="A33" s="35" t="s">
        <v>19</v>
      </c>
      <c r="B33" s="26">
        <v>187</v>
      </c>
      <c r="C33" s="27" t="s">
        <v>49</v>
      </c>
      <c r="D33" s="24">
        <v>0.29166666666666669</v>
      </c>
      <c r="E33" s="25">
        <v>39</v>
      </c>
    </row>
    <row r="34" spans="1:5" x14ac:dyDescent="0.25">
      <c r="A34" s="35" t="s">
        <v>19</v>
      </c>
      <c r="B34" s="26">
        <v>59</v>
      </c>
      <c r="C34" s="27" t="s">
        <v>42</v>
      </c>
      <c r="D34" s="24">
        <v>0.3125</v>
      </c>
      <c r="E34" s="25">
        <v>67</v>
      </c>
    </row>
    <row r="35" spans="1:5" x14ac:dyDescent="0.25">
      <c r="A35" s="34" t="s">
        <v>19</v>
      </c>
      <c r="B35" s="29">
        <v>33</v>
      </c>
      <c r="C35" s="30" t="s">
        <v>37</v>
      </c>
      <c r="D35" s="31">
        <v>0.31597222222222221</v>
      </c>
      <c r="E35" s="32">
        <v>324</v>
      </c>
    </row>
    <row r="36" spans="1:5" x14ac:dyDescent="0.25">
      <c r="A36" s="22" t="s">
        <v>50</v>
      </c>
      <c r="B36" s="23">
        <v>86</v>
      </c>
      <c r="C36" s="24" t="s">
        <v>51</v>
      </c>
      <c r="D36" s="24">
        <v>3.4722222222222224E-2</v>
      </c>
      <c r="E36" s="25">
        <v>65</v>
      </c>
    </row>
    <row r="37" spans="1:5" x14ac:dyDescent="0.25">
      <c r="A37" s="34" t="s">
        <v>50</v>
      </c>
      <c r="B37" s="29">
        <v>1229</v>
      </c>
      <c r="C37" s="30" t="s">
        <v>43</v>
      </c>
      <c r="D37" s="31">
        <v>0.22916666666666666</v>
      </c>
      <c r="E37" s="32">
        <v>97</v>
      </c>
    </row>
    <row r="38" spans="1:5" x14ac:dyDescent="0.25">
      <c r="A38" s="35" t="s">
        <v>50</v>
      </c>
      <c r="B38" s="26">
        <v>16</v>
      </c>
      <c r="C38" s="27" t="s">
        <v>47</v>
      </c>
      <c r="D38" s="24">
        <v>0.25</v>
      </c>
      <c r="E38" s="25">
        <v>432</v>
      </c>
    </row>
    <row r="39" spans="1:5" x14ac:dyDescent="0.25">
      <c r="A39" s="34" t="s">
        <v>50</v>
      </c>
      <c r="B39" s="33">
        <v>893</v>
      </c>
      <c r="C39" s="33" t="s">
        <v>42</v>
      </c>
      <c r="D39" s="31">
        <v>0.25</v>
      </c>
      <c r="E39" s="32">
        <v>68</v>
      </c>
    </row>
    <row r="40" spans="1:5" x14ac:dyDescent="0.25">
      <c r="A40" s="34" t="s">
        <v>50</v>
      </c>
      <c r="B40" s="29">
        <v>8032</v>
      </c>
      <c r="C40" s="30" t="s">
        <v>37</v>
      </c>
      <c r="D40" s="31">
        <v>0.27083333333333331</v>
      </c>
      <c r="E40" s="32">
        <v>43</v>
      </c>
    </row>
    <row r="41" spans="1:5" x14ac:dyDescent="0.25">
      <c r="A41" s="35" t="s">
        <v>50</v>
      </c>
      <c r="B41" s="23">
        <v>3115</v>
      </c>
      <c r="C41" s="23" t="s">
        <v>41</v>
      </c>
      <c r="D41" s="24">
        <v>0.2722222222222222</v>
      </c>
      <c r="E41" s="25">
        <v>132</v>
      </c>
    </row>
    <row r="42" spans="1:5" x14ac:dyDescent="0.25">
      <c r="A42" s="34" t="s">
        <v>50</v>
      </c>
      <c r="B42" s="33">
        <v>891</v>
      </c>
      <c r="C42" s="33" t="s">
        <v>37</v>
      </c>
      <c r="D42" s="31">
        <v>0.27430555555555552</v>
      </c>
      <c r="E42" s="32">
        <v>23</v>
      </c>
    </row>
    <row r="43" spans="1:5" x14ac:dyDescent="0.25">
      <c r="A43" s="35" t="s">
        <v>50</v>
      </c>
      <c r="B43" s="26">
        <v>117</v>
      </c>
      <c r="C43" s="27" t="s">
        <v>52</v>
      </c>
      <c r="D43" s="24">
        <v>0.28402777777777777</v>
      </c>
      <c r="E43" s="25">
        <v>65</v>
      </c>
    </row>
    <row r="44" spans="1:5" x14ac:dyDescent="0.25">
      <c r="A44" s="35" t="s">
        <v>50</v>
      </c>
      <c r="B44" s="26">
        <v>6067</v>
      </c>
      <c r="C44" s="27" t="s">
        <v>42</v>
      </c>
      <c r="D44" s="24">
        <v>0.29166666666666669</v>
      </c>
      <c r="E44" s="25">
        <v>43</v>
      </c>
    </row>
    <row r="45" spans="1:5" x14ac:dyDescent="0.25">
      <c r="A45" s="35" t="s">
        <v>50</v>
      </c>
      <c r="B45" s="23">
        <v>5790</v>
      </c>
      <c r="C45" s="24" t="s">
        <v>42</v>
      </c>
      <c r="D45" s="24">
        <v>0.29166666666666669</v>
      </c>
      <c r="E45" s="25">
        <v>324</v>
      </c>
    </row>
    <row r="46" spans="1:5" x14ac:dyDescent="0.25">
      <c r="A46" s="34" t="s">
        <v>50</v>
      </c>
      <c r="B46" s="33">
        <v>11</v>
      </c>
      <c r="C46" s="33" t="s">
        <v>42</v>
      </c>
      <c r="D46" s="31">
        <v>0.29166666666666669</v>
      </c>
      <c r="E46" s="32">
        <v>222</v>
      </c>
    </row>
    <row r="47" spans="1:5" x14ac:dyDescent="0.25">
      <c r="A47" s="34" t="s">
        <v>50</v>
      </c>
      <c r="B47" s="33">
        <v>1004</v>
      </c>
      <c r="C47" s="31" t="s">
        <v>53</v>
      </c>
      <c r="D47" s="31">
        <v>0.29791666666666666</v>
      </c>
      <c r="E47" s="32">
        <v>65</v>
      </c>
    </row>
    <row r="48" spans="1:5" x14ac:dyDescent="0.25">
      <c r="A48" s="34" t="s">
        <v>50</v>
      </c>
      <c r="B48" s="29">
        <v>549</v>
      </c>
      <c r="C48" s="30" t="s">
        <v>45</v>
      </c>
      <c r="D48" s="31">
        <v>0.2986111111111111</v>
      </c>
      <c r="E48" s="32">
        <v>132</v>
      </c>
    </row>
    <row r="49" spans="1:5" x14ac:dyDescent="0.25">
      <c r="A49" s="34" t="s">
        <v>50</v>
      </c>
      <c r="B49" s="33">
        <v>660</v>
      </c>
      <c r="C49" s="33" t="s">
        <v>54</v>
      </c>
      <c r="D49" s="31">
        <v>0.30208333333333331</v>
      </c>
      <c r="E49" s="32">
        <v>222</v>
      </c>
    </row>
    <row r="50" spans="1:5" x14ac:dyDescent="0.25">
      <c r="A50" s="35" t="s">
        <v>55</v>
      </c>
      <c r="B50" s="26">
        <v>221</v>
      </c>
      <c r="C50" s="27" t="s">
        <v>51</v>
      </c>
      <c r="D50" s="24">
        <v>2.0833333333333332E-2</v>
      </c>
      <c r="E50" s="25">
        <v>132</v>
      </c>
    </row>
    <row r="51" spans="1:5" ht="18.75" customHeight="1" x14ac:dyDescent="0.25">
      <c r="A51" s="35" t="s">
        <v>55</v>
      </c>
      <c r="B51" s="23">
        <v>819</v>
      </c>
      <c r="C51" s="24" t="s">
        <v>56</v>
      </c>
      <c r="D51" s="24">
        <v>0.23958333333333334</v>
      </c>
      <c r="E51" s="25">
        <v>311</v>
      </c>
    </row>
    <row r="52" spans="1:5" x14ac:dyDescent="0.25">
      <c r="A52" s="34" t="s">
        <v>55</v>
      </c>
      <c r="B52" s="29">
        <v>709</v>
      </c>
      <c r="C52" s="30" t="s">
        <v>57</v>
      </c>
      <c r="D52" s="31">
        <v>0.25</v>
      </c>
      <c r="E52" s="32">
        <v>345</v>
      </c>
    </row>
    <row r="53" spans="1:5" x14ac:dyDescent="0.25">
      <c r="A53" s="28" t="s">
        <v>26</v>
      </c>
      <c r="B53" s="33">
        <v>1069</v>
      </c>
      <c r="C53" s="33" t="s">
        <v>51</v>
      </c>
      <c r="D53" s="31">
        <v>2.0833333333333332E-2</v>
      </c>
      <c r="E53" s="32">
        <v>324</v>
      </c>
    </row>
    <row r="54" spans="1:5" x14ac:dyDescent="0.25">
      <c r="A54" s="34" t="s">
        <v>26</v>
      </c>
      <c r="B54" s="29">
        <v>8297</v>
      </c>
      <c r="C54" s="30" t="s">
        <v>34</v>
      </c>
      <c r="D54" s="31">
        <v>3.8194444444444441E-2</v>
      </c>
      <c r="E54" s="32">
        <v>23</v>
      </c>
    </row>
    <row r="55" spans="1:5" x14ac:dyDescent="0.25">
      <c r="A55" s="35" t="s">
        <v>27</v>
      </c>
      <c r="B55" s="26">
        <v>8147</v>
      </c>
      <c r="C55" s="27" t="s">
        <v>43</v>
      </c>
      <c r="D55" s="24">
        <v>0.22916666666666666</v>
      </c>
      <c r="E55" s="25">
        <v>75</v>
      </c>
    </row>
    <row r="56" spans="1:5" x14ac:dyDescent="0.25">
      <c r="A56" s="34" t="s">
        <v>27</v>
      </c>
      <c r="B56" s="29">
        <v>9591</v>
      </c>
      <c r="C56" s="30" t="s">
        <v>42</v>
      </c>
      <c r="D56" s="31">
        <v>0.25</v>
      </c>
      <c r="E56" s="32">
        <v>78</v>
      </c>
    </row>
    <row r="57" spans="1:5" x14ac:dyDescent="0.25">
      <c r="A57" s="34" t="s">
        <v>27</v>
      </c>
      <c r="B57" s="29">
        <v>1297</v>
      </c>
      <c r="C57" s="30" t="s">
        <v>58</v>
      </c>
      <c r="D57" s="31">
        <v>0.25</v>
      </c>
      <c r="E57" s="32">
        <v>67</v>
      </c>
    </row>
    <row r="58" spans="1:5" x14ac:dyDescent="0.25">
      <c r="A58" s="35" t="s">
        <v>27</v>
      </c>
      <c r="B58" s="23">
        <v>7080</v>
      </c>
      <c r="C58" s="23" t="s">
        <v>42</v>
      </c>
      <c r="D58" s="24">
        <v>0.25</v>
      </c>
      <c r="E58" s="25">
        <v>79</v>
      </c>
    </row>
    <row r="59" spans="1:5" x14ac:dyDescent="0.25">
      <c r="A59" s="22" t="s">
        <v>27</v>
      </c>
      <c r="B59" s="23">
        <v>6657</v>
      </c>
      <c r="C59" s="23" t="s">
        <v>37</v>
      </c>
      <c r="D59" s="24">
        <v>0.27430555555555552</v>
      </c>
      <c r="E59" s="25">
        <v>78</v>
      </c>
    </row>
    <row r="60" spans="1:5" x14ac:dyDescent="0.25">
      <c r="A60" s="34" t="s">
        <v>27</v>
      </c>
      <c r="B60" s="33">
        <v>873</v>
      </c>
      <c r="C60" s="31" t="s">
        <v>59</v>
      </c>
      <c r="D60" s="31">
        <v>0.29166666666666669</v>
      </c>
      <c r="E60" s="32">
        <v>132</v>
      </c>
    </row>
    <row r="61" spans="1:5" x14ac:dyDescent="0.25">
      <c r="A61" s="35" t="s">
        <v>27</v>
      </c>
      <c r="B61" s="23">
        <v>9356</v>
      </c>
      <c r="C61" s="24" t="s">
        <v>46</v>
      </c>
      <c r="D61" s="24">
        <v>0.29166666666666669</v>
      </c>
      <c r="E61" s="25">
        <v>121</v>
      </c>
    </row>
    <row r="62" spans="1:5" x14ac:dyDescent="0.25">
      <c r="A62" s="35" t="s">
        <v>27</v>
      </c>
      <c r="B62" s="26">
        <v>493</v>
      </c>
      <c r="C62" s="27" t="s">
        <v>56</v>
      </c>
      <c r="D62" s="24">
        <v>0.2951388888888889</v>
      </c>
      <c r="E62" s="25">
        <v>121</v>
      </c>
    </row>
    <row r="63" spans="1:5" x14ac:dyDescent="0.25">
      <c r="A63" s="34" t="s">
        <v>27</v>
      </c>
      <c r="B63" s="29">
        <v>521</v>
      </c>
      <c r="C63" s="30" t="s">
        <v>60</v>
      </c>
      <c r="D63" s="31">
        <v>0.3125</v>
      </c>
      <c r="E63" s="32">
        <v>333</v>
      </c>
    </row>
    <row r="64" spans="1:5" x14ac:dyDescent="0.25">
      <c r="A64" s="34" t="s">
        <v>27</v>
      </c>
      <c r="B64" s="33">
        <v>2114</v>
      </c>
      <c r="C64" s="33" t="s">
        <v>61</v>
      </c>
      <c r="D64" s="31">
        <v>0.3125</v>
      </c>
      <c r="E64" s="32">
        <v>88</v>
      </c>
    </row>
    <row r="65" spans="1:5" x14ac:dyDescent="0.25">
      <c r="A65" s="35" t="s">
        <v>27</v>
      </c>
      <c r="B65" s="26">
        <v>8008</v>
      </c>
      <c r="C65" s="27" t="s">
        <v>37</v>
      </c>
      <c r="D65" s="24">
        <v>0.31597222222222221</v>
      </c>
      <c r="E65" s="25">
        <v>222</v>
      </c>
    </row>
    <row r="66" spans="1:5" x14ac:dyDescent="0.25">
      <c r="A66" s="35" t="s">
        <v>27</v>
      </c>
      <c r="B66" s="26">
        <v>8198</v>
      </c>
      <c r="C66" s="27" t="s">
        <v>62</v>
      </c>
      <c r="D66" s="24">
        <v>0.3263888888888889</v>
      </c>
      <c r="E66" s="25">
        <v>324</v>
      </c>
    </row>
    <row r="67" spans="1:5" x14ac:dyDescent="0.25">
      <c r="A67" s="35" t="s">
        <v>27</v>
      </c>
      <c r="B67" s="26">
        <v>49</v>
      </c>
      <c r="C67" s="27" t="s">
        <v>63</v>
      </c>
      <c r="D67" s="24">
        <v>0.32777777777777778</v>
      </c>
      <c r="E67" s="25">
        <v>121</v>
      </c>
    </row>
    <row r="68" spans="1:5" x14ac:dyDescent="0.25">
      <c r="A68" s="34" t="s">
        <v>64</v>
      </c>
      <c r="B68" s="29">
        <v>9743</v>
      </c>
      <c r="C68" s="30" t="s">
        <v>65</v>
      </c>
      <c r="D68" s="31">
        <v>5.2083333333333336E-2</v>
      </c>
      <c r="E68" s="32"/>
    </row>
    <row r="69" spans="1:5" x14ac:dyDescent="0.25">
      <c r="A69" s="22" t="s">
        <v>66</v>
      </c>
      <c r="B69" s="23">
        <v>5211</v>
      </c>
      <c r="C69" s="23" t="s">
        <v>51</v>
      </c>
      <c r="D69" s="24">
        <v>2.0833333333333332E-2</v>
      </c>
      <c r="E69" s="25">
        <v>222</v>
      </c>
    </row>
    <row r="70" spans="1:5" x14ac:dyDescent="0.25">
      <c r="A70" s="28" t="s">
        <v>66</v>
      </c>
      <c r="B70" s="29">
        <v>10</v>
      </c>
      <c r="C70" s="30" t="s">
        <v>59</v>
      </c>
      <c r="D70" s="31">
        <v>0.25</v>
      </c>
      <c r="E70" s="32">
        <v>323</v>
      </c>
    </row>
    <row r="71" spans="1:5" x14ac:dyDescent="0.25">
      <c r="A71" s="22" t="s">
        <v>66</v>
      </c>
      <c r="B71" s="26">
        <v>71</v>
      </c>
      <c r="C71" s="27" t="s">
        <v>40</v>
      </c>
      <c r="D71" s="24">
        <v>0.25</v>
      </c>
      <c r="E71" s="25">
        <v>132</v>
      </c>
    </row>
    <row r="72" spans="1:5" x14ac:dyDescent="0.25">
      <c r="A72" s="22" t="s">
        <v>66</v>
      </c>
      <c r="B72" s="23">
        <v>833</v>
      </c>
      <c r="C72" s="24" t="s">
        <v>45</v>
      </c>
      <c r="D72" s="24">
        <v>0.25</v>
      </c>
      <c r="E72" s="25">
        <v>42</v>
      </c>
    </row>
    <row r="73" spans="1:5" hidden="1" x14ac:dyDescent="0.25">
      <c r="A73" s="22" t="s">
        <v>66</v>
      </c>
      <c r="B73" s="23">
        <v>7116</v>
      </c>
      <c r="C73" s="23" t="s">
        <v>67</v>
      </c>
      <c r="D73" s="24">
        <v>0.25</v>
      </c>
      <c r="E73" s="25">
        <v>54</v>
      </c>
    </row>
    <row r="74" spans="1:5" hidden="1" x14ac:dyDescent="0.25">
      <c r="A74" s="28" t="s">
        <v>66</v>
      </c>
      <c r="B74" s="33">
        <v>8342</v>
      </c>
      <c r="C74" s="31" t="s">
        <v>37</v>
      </c>
      <c r="D74" s="31">
        <v>0.29166666666666669</v>
      </c>
      <c r="E74" s="32">
        <v>222</v>
      </c>
    </row>
    <row r="75" spans="1:5" hidden="1" x14ac:dyDescent="0.25">
      <c r="A75" s="22" t="s">
        <v>66</v>
      </c>
      <c r="B75" s="26">
        <v>9589</v>
      </c>
      <c r="C75" s="27" t="s">
        <v>42</v>
      </c>
      <c r="D75" s="24">
        <v>0.2986111111111111</v>
      </c>
      <c r="E75" s="25">
        <v>23</v>
      </c>
    </row>
    <row r="76" spans="1:5" hidden="1" x14ac:dyDescent="0.25">
      <c r="A76" s="28" t="s">
        <v>66</v>
      </c>
      <c r="B76" s="33">
        <v>5</v>
      </c>
      <c r="C76" s="33" t="s">
        <v>42</v>
      </c>
      <c r="D76" s="31">
        <v>0.2986111111111111</v>
      </c>
      <c r="E76" s="32">
        <v>222</v>
      </c>
    </row>
    <row r="77" spans="1:5" x14ac:dyDescent="0.25">
      <c r="A77" s="22" t="s">
        <v>66</v>
      </c>
      <c r="B77" s="26">
        <v>1048</v>
      </c>
      <c r="C77" s="27" t="s">
        <v>37</v>
      </c>
      <c r="D77" s="24">
        <v>0.31597222222222221</v>
      </c>
      <c r="E77" s="25">
        <v>132</v>
      </c>
    </row>
    <row r="78" spans="1:5" x14ac:dyDescent="0.25">
      <c r="A78" s="28" t="s">
        <v>66</v>
      </c>
      <c r="B78" s="29">
        <v>5811</v>
      </c>
      <c r="C78" s="30" t="s">
        <v>37</v>
      </c>
      <c r="D78" s="31">
        <v>0.31597222222222221</v>
      </c>
      <c r="E78" s="32">
        <v>121</v>
      </c>
    </row>
    <row r="79" spans="1:5" x14ac:dyDescent="0.25">
      <c r="A79" s="28" t="s">
        <v>66</v>
      </c>
      <c r="B79" s="29">
        <v>4508</v>
      </c>
      <c r="C79" s="30" t="s">
        <v>62</v>
      </c>
      <c r="D79" s="31">
        <v>0.3263888888888889</v>
      </c>
      <c r="E79" s="32">
        <v>132</v>
      </c>
    </row>
    <row r="80" spans="1:5" x14ac:dyDescent="0.25">
      <c r="A80" s="28" t="s">
        <v>66</v>
      </c>
      <c r="B80" s="33">
        <v>403</v>
      </c>
      <c r="C80" s="33" t="s">
        <v>37</v>
      </c>
      <c r="D80" s="31">
        <v>0.3263888888888889</v>
      </c>
      <c r="E80" s="32">
        <v>222</v>
      </c>
    </row>
    <row r="81" spans="1:5" x14ac:dyDescent="0.25">
      <c r="A81" s="28" t="s">
        <v>66</v>
      </c>
      <c r="B81" s="33">
        <v>4431</v>
      </c>
      <c r="C81" s="33" t="s">
        <v>68</v>
      </c>
      <c r="D81" s="31">
        <v>0.3298611111111111</v>
      </c>
      <c r="E81" s="32">
        <v>21</v>
      </c>
    </row>
    <row r="82" spans="1:5" x14ac:dyDescent="0.25">
      <c r="A82" s="34" t="s">
        <v>22</v>
      </c>
      <c r="B82" s="29">
        <v>425</v>
      </c>
      <c r="C82" s="30" t="s">
        <v>60</v>
      </c>
      <c r="D82" s="31">
        <v>4.5138888888888888E-2</v>
      </c>
      <c r="E82" s="32">
        <v>65</v>
      </c>
    </row>
    <row r="83" spans="1:5" x14ac:dyDescent="0.25">
      <c r="A83" s="34" t="s">
        <v>21</v>
      </c>
      <c r="B83" s="29">
        <v>587</v>
      </c>
      <c r="C83" s="30" t="s">
        <v>69</v>
      </c>
      <c r="D83" s="31">
        <v>0.16319444444444445</v>
      </c>
      <c r="E83" s="32"/>
    </row>
    <row r="84" spans="1:5" hidden="1" x14ac:dyDescent="0.25">
      <c r="A84" s="34" t="s">
        <v>21</v>
      </c>
      <c r="B84" s="29">
        <v>543</v>
      </c>
      <c r="C84" s="30" t="s">
        <v>70</v>
      </c>
      <c r="D84" s="31">
        <v>0.16666666666666666</v>
      </c>
      <c r="E84" s="32">
        <v>231</v>
      </c>
    </row>
    <row r="85" spans="1:5" hidden="1" x14ac:dyDescent="0.25">
      <c r="A85" s="28" t="s">
        <v>20</v>
      </c>
      <c r="B85" s="33">
        <v>258</v>
      </c>
      <c r="C85" s="31" t="s">
        <v>71</v>
      </c>
      <c r="D85" s="31">
        <v>0.15486111111111112</v>
      </c>
      <c r="E85" s="32"/>
    </row>
    <row r="86" spans="1:5" hidden="1" x14ac:dyDescent="0.25">
      <c r="A86" s="34" t="s">
        <v>20</v>
      </c>
      <c r="B86" s="29">
        <v>7928</v>
      </c>
      <c r="C86" s="30" t="s">
        <v>51</v>
      </c>
      <c r="D86" s="31">
        <v>3.4722222222222224E-2</v>
      </c>
      <c r="E86" s="32">
        <v>121</v>
      </c>
    </row>
    <row r="87" spans="1:5" hidden="1" x14ac:dyDescent="0.25">
      <c r="A87" s="28" t="s">
        <v>20</v>
      </c>
      <c r="B87" s="33">
        <v>735</v>
      </c>
      <c r="C87" s="31" t="s">
        <v>72</v>
      </c>
      <c r="D87" s="31">
        <v>0.23958333333333334</v>
      </c>
      <c r="E87" s="32">
        <v>54</v>
      </c>
    </row>
    <row r="88" spans="1:5" hidden="1" x14ac:dyDescent="0.25">
      <c r="A88" s="22" t="s">
        <v>20</v>
      </c>
      <c r="B88" s="26">
        <v>5045</v>
      </c>
      <c r="C88" s="27" t="s">
        <v>58</v>
      </c>
      <c r="D88" s="24">
        <v>0.25</v>
      </c>
      <c r="E88" s="25">
        <v>94</v>
      </c>
    </row>
    <row r="89" spans="1:5" x14ac:dyDescent="0.25">
      <c r="A89" s="28" t="s">
        <v>20</v>
      </c>
      <c r="B89" s="33">
        <v>9362</v>
      </c>
      <c r="C89" s="31" t="s">
        <v>58</v>
      </c>
      <c r="D89" s="31">
        <v>0.25</v>
      </c>
      <c r="E89" s="32">
        <v>83</v>
      </c>
    </row>
    <row r="90" spans="1:5" x14ac:dyDescent="0.25">
      <c r="A90" s="28" t="s">
        <v>20</v>
      </c>
      <c r="B90" s="33">
        <v>6629</v>
      </c>
      <c r="C90" s="33" t="s">
        <v>42</v>
      </c>
      <c r="D90" s="31">
        <v>0.25</v>
      </c>
      <c r="E90" s="32">
        <v>23</v>
      </c>
    </row>
    <row r="91" spans="1:5" x14ac:dyDescent="0.25">
      <c r="A91" s="28" t="s">
        <v>20</v>
      </c>
      <c r="B91" s="33">
        <v>6629</v>
      </c>
      <c r="C91" s="33" t="s">
        <v>42</v>
      </c>
      <c r="D91" s="31">
        <v>0.25</v>
      </c>
      <c r="E91" s="32">
        <v>43</v>
      </c>
    </row>
    <row r="92" spans="1:5" x14ac:dyDescent="0.25">
      <c r="A92" s="22" t="s">
        <v>20</v>
      </c>
      <c r="B92" s="23">
        <v>6629</v>
      </c>
      <c r="C92" s="23" t="s">
        <v>42</v>
      </c>
      <c r="D92" s="24">
        <v>0.25</v>
      </c>
      <c r="E92" s="25">
        <v>323</v>
      </c>
    </row>
    <row r="93" spans="1:5" x14ac:dyDescent="0.25">
      <c r="A93" s="22" t="s">
        <v>20</v>
      </c>
      <c r="B93" s="23">
        <v>6629</v>
      </c>
      <c r="C93" s="23" t="s">
        <v>42</v>
      </c>
      <c r="D93" s="24">
        <v>0.25</v>
      </c>
      <c r="E93" s="25">
        <v>78</v>
      </c>
    </row>
    <row r="94" spans="1:5" x14ac:dyDescent="0.25">
      <c r="A94" s="28" t="s">
        <v>20</v>
      </c>
      <c r="B94" s="33">
        <v>3120</v>
      </c>
      <c r="C94" s="31" t="s">
        <v>37</v>
      </c>
      <c r="D94" s="31">
        <v>0.27083333333333331</v>
      </c>
      <c r="E94" s="32">
        <v>39</v>
      </c>
    </row>
    <row r="95" spans="1:5" x14ac:dyDescent="0.25">
      <c r="A95" s="28" t="s">
        <v>20</v>
      </c>
      <c r="B95" s="33">
        <v>6629</v>
      </c>
      <c r="C95" s="33" t="s">
        <v>42</v>
      </c>
      <c r="D95" s="31">
        <v>0.25</v>
      </c>
      <c r="E95" s="32">
        <v>324</v>
      </c>
    </row>
    <row r="96" spans="1:5" x14ac:dyDescent="0.25">
      <c r="A96" s="22" t="s">
        <v>20</v>
      </c>
      <c r="B96" s="23">
        <v>7084</v>
      </c>
      <c r="C96" s="23" t="s">
        <v>42</v>
      </c>
      <c r="D96" s="24">
        <v>0.2986111111111111</v>
      </c>
      <c r="E96" s="25">
        <v>324</v>
      </c>
    </row>
    <row r="97" spans="1:5" x14ac:dyDescent="0.25">
      <c r="A97" s="22" t="s">
        <v>20</v>
      </c>
      <c r="B97" s="23">
        <v>6631</v>
      </c>
      <c r="C97" s="23" t="s">
        <v>42</v>
      </c>
      <c r="D97" s="24">
        <v>0.2986111111111111</v>
      </c>
      <c r="E97" s="25">
        <v>121</v>
      </c>
    </row>
    <row r="98" spans="1:5" x14ac:dyDescent="0.25">
      <c r="A98" s="22" t="s">
        <v>73</v>
      </c>
      <c r="B98" s="23">
        <v>567</v>
      </c>
      <c r="C98" s="24" t="s">
        <v>32</v>
      </c>
      <c r="D98" s="24">
        <v>0.19583333333333333</v>
      </c>
      <c r="E98" s="25">
        <v>23</v>
      </c>
    </row>
    <row r="99" spans="1:5" x14ac:dyDescent="0.25">
      <c r="A99" s="36" t="s">
        <v>74</v>
      </c>
      <c r="B99" s="37">
        <v>941</v>
      </c>
      <c r="C99" s="38" t="s">
        <v>75</v>
      </c>
      <c r="D99" s="15">
        <v>6.25E-2</v>
      </c>
      <c r="E99" s="16">
        <v>33</v>
      </c>
    </row>
  </sheetData>
  <dataValidations count="1">
    <dataValidation type="whole" allowBlank="1" showInputMessage="1" showErrorMessage="1" sqref="E4">
      <formula1>1</formula1>
      <formula2>450</formula2>
    </dataValidation>
  </dataValidations>
  <pageMargins left="0.70866141732283472" right="0.70866141732283472" top="0.74803149606299213" bottom="0.74803149606299213" header="0.31496062992125984" footer="0.31496062992125984"/>
  <pageSetup paperSize="284" scale="17" orientation="landscape" horizontalDpi="0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38"/>
  <sheetViews>
    <sheetView zoomScaleNormal="100" workbookViewId="0">
      <selection activeCell="H14" sqref="H14"/>
    </sheetView>
  </sheetViews>
  <sheetFormatPr defaultRowHeight="15" x14ac:dyDescent="0.25"/>
  <cols>
    <col min="1" max="2" width="24.28515625" customWidth="1"/>
    <col min="3" max="7" width="11.5703125" customWidth="1"/>
    <col min="12" max="13" width="11.140625" bestFit="1" customWidth="1"/>
  </cols>
  <sheetData>
    <row r="1" spans="1:9" ht="25.5" customHeight="1" x14ac:dyDescent="0.3">
      <c r="A1" s="47" t="s">
        <v>1</v>
      </c>
      <c r="B1" s="47"/>
      <c r="C1" s="47"/>
      <c r="D1" s="47"/>
      <c r="E1" s="47"/>
      <c r="F1" s="47"/>
      <c r="G1" s="47"/>
    </row>
    <row r="2" spans="1:9" ht="15.75" thickBot="1" x14ac:dyDescent="0.3"/>
    <row r="3" spans="1:9" ht="15.75" thickBot="1" x14ac:dyDescent="0.3">
      <c r="A3" s="46" t="s">
        <v>103</v>
      </c>
      <c r="B3" s="46">
        <v>2017</v>
      </c>
      <c r="C3" s="46">
        <v>2018</v>
      </c>
      <c r="D3" s="46">
        <v>2019</v>
      </c>
      <c r="E3" s="46">
        <v>2020</v>
      </c>
      <c r="F3" s="46">
        <v>2021</v>
      </c>
      <c r="G3" s="46">
        <v>2022</v>
      </c>
      <c r="I3" s="43"/>
    </row>
    <row r="4" spans="1:9" x14ac:dyDescent="0.25">
      <c r="A4" s="2" t="s">
        <v>2</v>
      </c>
      <c r="B4" s="4">
        <v>324</v>
      </c>
      <c r="C4" s="4">
        <v>378</v>
      </c>
      <c r="D4" s="4">
        <v>412</v>
      </c>
      <c r="E4" s="4">
        <v>455</v>
      </c>
      <c r="F4" s="4">
        <v>533</v>
      </c>
      <c r="G4" s="4">
        <v>634</v>
      </c>
    </row>
    <row r="5" spans="1:9" x14ac:dyDescent="0.25">
      <c r="A5" s="2" t="s">
        <v>3</v>
      </c>
      <c r="B5" s="4">
        <v>15</v>
      </c>
      <c r="C5" s="4">
        <v>19</v>
      </c>
      <c r="D5" s="4">
        <v>23</v>
      </c>
      <c r="E5" s="4">
        <v>25</v>
      </c>
      <c r="F5" s="4">
        <v>32</v>
      </c>
      <c r="G5" s="4">
        <v>43</v>
      </c>
    </row>
    <row r="6" spans="1:9" x14ac:dyDescent="0.25">
      <c r="A6" s="2" t="s">
        <v>4</v>
      </c>
      <c r="B6" s="4">
        <v>32</v>
      </c>
      <c r="C6" s="4">
        <v>37</v>
      </c>
      <c r="D6" s="4">
        <v>42</v>
      </c>
      <c r="E6" s="4">
        <v>46</v>
      </c>
      <c r="F6" s="4">
        <v>49</v>
      </c>
      <c r="G6" s="4">
        <v>51</v>
      </c>
    </row>
    <row r="7" spans="1:9" x14ac:dyDescent="0.25">
      <c r="A7" s="2" t="s">
        <v>5</v>
      </c>
      <c r="B7" s="4">
        <v>111</v>
      </c>
      <c r="C7" s="4">
        <v>134</v>
      </c>
      <c r="D7" s="4">
        <v>157</v>
      </c>
      <c r="E7" s="4">
        <v>177</v>
      </c>
      <c r="F7" s="4">
        <v>189</v>
      </c>
      <c r="G7" s="4">
        <v>210</v>
      </c>
    </row>
    <row r="8" spans="1:9" x14ac:dyDescent="0.25">
      <c r="A8" s="2" t="s">
        <v>6</v>
      </c>
      <c r="B8" s="4">
        <v>2</v>
      </c>
      <c r="C8" s="4">
        <v>4</v>
      </c>
      <c r="D8" s="4">
        <v>6</v>
      </c>
      <c r="E8" s="4">
        <v>8</v>
      </c>
      <c r="F8" s="4">
        <v>10</v>
      </c>
      <c r="G8" s="4">
        <v>12</v>
      </c>
    </row>
    <row r="9" spans="1:9" x14ac:dyDescent="0.25">
      <c r="A9" s="2" t="s">
        <v>7</v>
      </c>
      <c r="B9" s="4">
        <v>5</v>
      </c>
      <c r="C9" s="4">
        <v>7</v>
      </c>
      <c r="D9" s="4">
        <v>9</v>
      </c>
      <c r="E9" s="4">
        <v>11</v>
      </c>
      <c r="F9" s="4">
        <v>13</v>
      </c>
      <c r="G9" s="4">
        <v>14</v>
      </c>
    </row>
    <row r="10" spans="1:9" x14ac:dyDescent="0.25">
      <c r="A10" s="2" t="s">
        <v>8</v>
      </c>
      <c r="B10" s="4">
        <v>6</v>
      </c>
      <c r="C10" s="4">
        <v>8</v>
      </c>
      <c r="D10" s="4">
        <v>12</v>
      </c>
      <c r="E10" s="4">
        <v>16</v>
      </c>
      <c r="F10" s="4">
        <v>18</v>
      </c>
      <c r="G10" s="4">
        <v>23</v>
      </c>
    </row>
    <row r="11" spans="1:9" x14ac:dyDescent="0.25">
      <c r="A11" s="2" t="s">
        <v>0</v>
      </c>
      <c r="B11" s="4">
        <f>SUM(B4:B10)</f>
        <v>495</v>
      </c>
      <c r="C11" s="4">
        <f>SUM(C4:C10)</f>
        <v>587</v>
      </c>
      <c r="D11" s="4">
        <f t="shared" ref="D11:G11" si="0">SUM(D4:D10)</f>
        <v>661</v>
      </c>
      <c r="E11" s="4">
        <f t="shared" si="0"/>
        <v>738</v>
      </c>
      <c r="F11" s="4">
        <f t="shared" si="0"/>
        <v>844</v>
      </c>
      <c r="G11" s="4">
        <f t="shared" si="0"/>
        <v>987</v>
      </c>
    </row>
    <row r="38" spans="3:4" x14ac:dyDescent="0.25">
      <c r="C38" s="42"/>
      <c r="D38" s="42"/>
    </row>
  </sheetData>
  <mergeCells count="1">
    <mergeCell ref="A1:G1"/>
  </mergeCells>
  <conditionalFormatting sqref="G11">
    <cfRule type="cellIs" dxfId="0" priority="1" operator="greaterThan">
      <formula>500000000</formula>
    </cfRule>
  </conditionalFormatting>
  <pageMargins left="0.7" right="0.7" top="0.75" bottom="0.75" header="0.3" footer="0.3"/>
  <pageSetup paperSize="9" scale="86" orientation="landscape" r:id="rId1"/>
  <headerFooter>
    <oddHeader>&amp;L&amp;G</oddHeader>
  </headerFooter>
  <ignoredErrors>
    <ignoredError sqref="B11:G11" formulaRange="1"/>
  </ignoredErrors>
  <drawing r:id="rId2"/>
  <legacyDrawing r:id="rId3"/>
  <legacyDrawingHF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12"/>
  <sheetViews>
    <sheetView tabSelected="1" topLeftCell="B1" workbookViewId="0">
      <selection activeCell="P3" sqref="P3"/>
    </sheetView>
  </sheetViews>
  <sheetFormatPr defaultRowHeight="15" x14ac:dyDescent="0.25"/>
  <cols>
    <col min="1" max="1" width="18.85546875" customWidth="1"/>
    <col min="16" max="16" width="20" bestFit="1" customWidth="1"/>
    <col min="20" max="25" width="11.5703125" bestFit="1" customWidth="1"/>
  </cols>
  <sheetData>
    <row r="1" spans="1:18" x14ac:dyDescent="0.25">
      <c r="B1" s="48" t="s">
        <v>76</v>
      </c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P1" s="49" t="s">
        <v>77</v>
      </c>
      <c r="Q1" s="49"/>
      <c r="R1" s="49"/>
    </row>
    <row r="2" spans="1:18" x14ac:dyDescent="0.25">
      <c r="B2" s="6" t="s">
        <v>78</v>
      </c>
      <c r="C2" s="6" t="s">
        <v>79</v>
      </c>
      <c r="D2" s="6" t="s">
        <v>80</v>
      </c>
      <c r="E2" s="6" t="s">
        <v>81</v>
      </c>
      <c r="F2" s="6" t="s">
        <v>82</v>
      </c>
      <c r="G2" s="6" t="s">
        <v>83</v>
      </c>
      <c r="H2" s="6" t="s">
        <v>84</v>
      </c>
      <c r="I2" s="6" t="s">
        <v>85</v>
      </c>
      <c r="J2" s="6" t="s">
        <v>86</v>
      </c>
      <c r="K2" s="6" t="s">
        <v>87</v>
      </c>
      <c r="L2" s="6" t="s">
        <v>88</v>
      </c>
      <c r="M2" s="6" t="s">
        <v>89</v>
      </c>
      <c r="P2" s="6" t="s">
        <v>90</v>
      </c>
      <c r="Q2" s="6" t="s">
        <v>91</v>
      </c>
      <c r="R2" s="6" t="s">
        <v>92</v>
      </c>
    </row>
    <row r="3" spans="1:18" x14ac:dyDescent="0.25">
      <c r="A3" s="6" t="s">
        <v>93</v>
      </c>
      <c r="B3" s="7" t="s">
        <v>90</v>
      </c>
      <c r="C3" s="7" t="s">
        <v>91</v>
      </c>
      <c r="D3" s="7" t="s">
        <v>91</v>
      </c>
      <c r="E3" s="7" t="s">
        <v>91</v>
      </c>
      <c r="F3" s="7" t="s">
        <v>90</v>
      </c>
      <c r="G3" s="7" t="s">
        <v>91</v>
      </c>
      <c r="H3" s="7" t="s">
        <v>91</v>
      </c>
      <c r="I3" s="7" t="s">
        <v>92</v>
      </c>
      <c r="J3" s="7" t="s">
        <v>90</v>
      </c>
      <c r="K3" s="7" t="s">
        <v>91</v>
      </c>
      <c r="L3" s="7" t="s">
        <v>91</v>
      </c>
      <c r="M3" s="7" t="s">
        <v>92</v>
      </c>
    </row>
    <row r="4" spans="1:18" x14ac:dyDescent="0.25">
      <c r="A4" s="6" t="s">
        <v>94</v>
      </c>
      <c r="B4" s="7" t="s">
        <v>90</v>
      </c>
      <c r="C4" s="7" t="s">
        <v>91</v>
      </c>
      <c r="D4" s="7" t="s">
        <v>92</v>
      </c>
      <c r="E4" s="7" t="s">
        <v>92</v>
      </c>
      <c r="F4" s="7" t="s">
        <v>91</v>
      </c>
      <c r="G4" s="7" t="s">
        <v>90</v>
      </c>
      <c r="H4" s="7" t="s">
        <v>92</v>
      </c>
      <c r="I4" s="7" t="s">
        <v>91</v>
      </c>
      <c r="J4" s="7" t="s">
        <v>92</v>
      </c>
      <c r="K4" s="7" t="s">
        <v>90</v>
      </c>
      <c r="L4" s="7" t="s">
        <v>91</v>
      </c>
      <c r="M4" s="7" t="s">
        <v>92</v>
      </c>
    </row>
    <row r="5" spans="1:18" x14ac:dyDescent="0.25">
      <c r="A5" s="6" t="s">
        <v>95</v>
      </c>
      <c r="B5" s="7" t="s">
        <v>90</v>
      </c>
      <c r="C5" s="7" t="s">
        <v>91</v>
      </c>
      <c r="D5" s="7" t="s">
        <v>92</v>
      </c>
      <c r="E5" s="7" t="s">
        <v>92</v>
      </c>
      <c r="F5" s="7" t="s">
        <v>91</v>
      </c>
      <c r="G5" s="7" t="s">
        <v>90</v>
      </c>
      <c r="H5" s="7" t="s">
        <v>92</v>
      </c>
      <c r="I5" s="7" t="s">
        <v>92</v>
      </c>
      <c r="J5" s="7" t="s">
        <v>91</v>
      </c>
      <c r="K5" s="7" t="s">
        <v>90</v>
      </c>
      <c r="L5" s="7" t="s">
        <v>91</v>
      </c>
      <c r="M5" s="7" t="s">
        <v>92</v>
      </c>
    </row>
    <row r="6" spans="1:18" x14ac:dyDescent="0.25">
      <c r="A6" s="6" t="s">
        <v>96</v>
      </c>
      <c r="B6" s="7" t="s">
        <v>90</v>
      </c>
      <c r="C6" s="7" t="s">
        <v>91</v>
      </c>
      <c r="D6" s="7" t="s">
        <v>92</v>
      </c>
      <c r="E6" s="7" t="s">
        <v>92</v>
      </c>
      <c r="F6" s="7" t="s">
        <v>92</v>
      </c>
      <c r="G6" s="7" t="s">
        <v>90</v>
      </c>
      <c r="H6" s="7" t="s">
        <v>92</v>
      </c>
      <c r="I6" s="7" t="s">
        <v>92</v>
      </c>
      <c r="J6" s="7" t="s">
        <v>91</v>
      </c>
      <c r="K6" s="7" t="s">
        <v>92</v>
      </c>
      <c r="L6" s="7" t="s">
        <v>91</v>
      </c>
      <c r="M6" s="7" t="s">
        <v>92</v>
      </c>
    </row>
    <row r="8" spans="1:18" x14ac:dyDescent="0.25">
      <c r="B8" s="39" t="s">
        <v>97</v>
      </c>
    </row>
    <row r="9" spans="1:18" x14ac:dyDescent="0.25">
      <c r="B9" s="5" t="s">
        <v>90</v>
      </c>
      <c r="C9" s="5" t="s">
        <v>98</v>
      </c>
      <c r="D9" s="5"/>
      <c r="E9" s="5"/>
    </row>
    <row r="10" spans="1:18" x14ac:dyDescent="0.25">
      <c r="B10" s="5" t="s">
        <v>91</v>
      </c>
      <c r="C10" s="5" t="s">
        <v>99</v>
      </c>
      <c r="D10" s="5"/>
      <c r="E10" s="5"/>
    </row>
    <row r="11" spans="1:18" x14ac:dyDescent="0.25">
      <c r="B11" s="5" t="s">
        <v>92</v>
      </c>
      <c r="C11" s="5" t="s">
        <v>100</v>
      </c>
      <c r="D11" s="5"/>
      <c r="E11" s="5"/>
    </row>
    <row r="12" spans="1:18" x14ac:dyDescent="0.25">
      <c r="B12" t="s">
        <v>101</v>
      </c>
    </row>
  </sheetData>
  <mergeCells count="2">
    <mergeCell ref="B1:M1"/>
    <mergeCell ref="P1:R1"/>
  </mergeCells>
  <dataValidations count="1">
    <dataValidation type="list" allowBlank="1" showInputMessage="1" showErrorMessage="1" sqref="B9:B11">
      <formula1>"A,B,C"</formula1>
    </dataValidation>
  </dataValidations>
  <hyperlinks>
    <hyperlink ref="B1:M1" r:id="rId1" display="Maintenance Schedule - Primary Aircraft"/>
  </hyperlinks>
  <pageMargins left="0.7" right="0.7" top="0.75" bottom="0.75" header="0.3" footer="0.3"/>
  <pageSetup paperSize="9" orientation="portrait" r:id="rId2"/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 Monthly Revenue</vt:lpstr>
      <vt:lpstr>Flights</vt:lpstr>
      <vt:lpstr>Profit Forecast</vt:lpstr>
      <vt:lpstr>Maintenance 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Murphy, David</dc:creator>
  <cp:lastModifiedBy>DMurphy</cp:lastModifiedBy>
  <cp:lastPrinted>2018-11-29T17:08:06Z</cp:lastPrinted>
  <dcterms:created xsi:type="dcterms:W3CDTF">2018-11-28T14:27:53Z</dcterms:created>
  <dcterms:modified xsi:type="dcterms:W3CDTF">2019-01-30T09:44:18Z</dcterms:modified>
</cp:coreProperties>
</file>