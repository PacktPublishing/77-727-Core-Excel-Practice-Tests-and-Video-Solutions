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7 Core Excel Practice Tests and Video Solutions\77-727 Exam - Practice Exam 2\"/>
    </mc:Choice>
  </mc:AlternateContent>
  <bookViews>
    <workbookView xWindow="0" yWindow="0" windowWidth="24000" windowHeight="9600" activeTab="1"/>
  </bookViews>
  <sheets>
    <sheet name="Marketing Plan Budget" sheetId="7" r:id="rId1"/>
    <sheet name="Profit Forecast" sheetId="8" r:id="rId2"/>
  </sheets>
  <definedNames>
    <definedName name="Advances">#REF!</definedName>
    <definedName name="ColumnTitle1">#REF!</definedName>
    <definedName name="Plan">'Marketing Plan Budget'!$C$4:$G$10</definedName>
    <definedName name="_xlnm.Print_Titles" localSheetId="0">'Marketing Plan Budget'!$3:$3</definedName>
    <definedName name="Subtotal">#REF!</definedName>
    <definedName name="test">#REF!,#REF!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8" l="1"/>
  <c r="F11" i="8"/>
  <c r="E11" i="8"/>
  <c r="D11" i="8"/>
  <c r="C11" i="8"/>
  <c r="B11" i="8"/>
  <c r="G11" i="7"/>
  <c r="F11" i="7"/>
  <c r="E11" i="7"/>
  <c r="D11" i="7"/>
  <c r="C11" i="7"/>
  <c r="B11" i="7"/>
</calcChain>
</file>

<file path=xl/comments1.xml><?xml version="1.0" encoding="utf-8"?>
<comments xmlns="http://schemas.openxmlformats.org/spreadsheetml/2006/main">
  <authors>
    <author>DMurphy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DMurphy:</t>
        </r>
        <r>
          <rPr>
            <sz val="9"/>
            <color indexed="81"/>
            <rFont val="Tahoma"/>
            <family val="2"/>
          </rPr>
          <t xml:space="preserve">
Too much!</t>
        </r>
      </text>
    </comment>
  </commentList>
</comments>
</file>

<file path=xl/sharedStrings.xml><?xml version="1.0" encoding="utf-8"?>
<sst xmlns="http://schemas.openxmlformats.org/spreadsheetml/2006/main" count="21" uniqueCount="19">
  <si>
    <t>Marketing Budget 2017 to 2022</t>
  </si>
  <si>
    <t>Category/Year</t>
  </si>
  <si>
    <t>Television Advertising</t>
  </si>
  <si>
    <t>Radio</t>
  </si>
  <si>
    <t>Internet</t>
  </si>
  <si>
    <t>Newspaper Advertising</t>
  </si>
  <si>
    <t>New Brand Launch Parties</t>
  </si>
  <si>
    <t>Aircraft Livery Changes</t>
  </si>
  <si>
    <t>Staff Hires</t>
  </si>
  <si>
    <t>Total</t>
  </si>
  <si>
    <t>Profit Forecast (Million Euro) 2017 to 2022</t>
  </si>
  <si>
    <t>Flights</t>
  </si>
  <si>
    <t>Passenger Services</t>
  </si>
  <si>
    <t>In House Entertainment</t>
  </si>
  <si>
    <t>Duty Free</t>
  </si>
  <si>
    <t>Raffle Tickets</t>
  </si>
  <si>
    <t>Car Hire margin</t>
  </si>
  <si>
    <t>Hotel Referrals</t>
  </si>
  <si>
    <t>Figure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</si>
</sst>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€-2]\ #,##0.00;[Red][$€-2]\ #,##0.00"/>
    <numFmt numFmtId="165" formatCode="[$€-2]\ #,##0;[Red][$€-2]\ #,##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3" fillId="0" borderId="0" xfId="0" applyFont="1"/>
    <xf numFmtId="0" fontId="4" fillId="0" borderId="1" xfId="0" applyFont="1" applyBorder="1"/>
    <xf numFmtId="164" fontId="0" fillId="0" borderId="1" xfId="0" applyNumberFormat="1" applyBorder="1"/>
    <xf numFmtId="164" fontId="0" fillId="0" borderId="1" xfId="0" applyNumberFormat="1" applyBorder="1" applyAlignment="1">
      <alignment horizontal="right"/>
    </xf>
    <xf numFmtId="0" fontId="4" fillId="2" borderId="1" xfId="0" applyFont="1" applyFill="1" applyBorder="1"/>
    <xf numFmtId="164" fontId="0" fillId="2" borderId="1" xfId="0" applyNumberFormat="1" applyFill="1" applyBorder="1"/>
    <xf numFmtId="164" fontId="1" fillId="2" borderId="1" xfId="0" applyNumberFormat="1" applyFont="1" applyFill="1" applyBorder="1"/>
    <xf numFmtId="9" fontId="0" fillId="0" borderId="0" xfId="0" applyNumberFormat="1"/>
    <xf numFmtId="165" fontId="0" fillId="0" borderId="1" xfId="0" applyNumberFormat="1" applyBorder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2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Profit Forecast 2017 to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167489513971525E-2"/>
          <c:y val="0.10202767222794618"/>
          <c:w val="0.88653990598442078"/>
          <c:h val="0.705084946274062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'Profit Forecast'!$A$4</c:f>
              <c:strCache>
                <c:ptCount val="1"/>
                <c:pt idx="0">
                  <c:v>Flights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Forecast'!$B$4:$G$4</c:f>
              <c:numCache>
                <c:formatCode>[$€-2]\ #,##0;[Red][$€-2]\ #,##0</c:formatCode>
                <c:ptCount val="6"/>
                <c:pt idx="0">
                  <c:v>324</c:v>
                </c:pt>
                <c:pt idx="1">
                  <c:v>378</c:v>
                </c:pt>
                <c:pt idx="2">
                  <c:v>412</c:v>
                </c:pt>
                <c:pt idx="3">
                  <c:v>455</c:v>
                </c:pt>
                <c:pt idx="4">
                  <c:v>533</c:v>
                </c:pt>
                <c:pt idx="5">
                  <c:v>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36-4A18-9B7E-CA6ADD4CB196}"/>
            </c:ext>
          </c:extLst>
        </c:ser>
        <c:ser>
          <c:idx val="1"/>
          <c:order val="1"/>
          <c:tx>
            <c:strRef>
              <c:f>'Profit Forecast'!$A$5</c:f>
              <c:strCache>
                <c:ptCount val="1"/>
                <c:pt idx="0">
                  <c:v>Passenger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Forecast'!$B$5:$G$5</c:f>
              <c:numCache>
                <c:formatCode>[$€-2]\ #,##0;[Red][$€-2]\ #,##0</c:formatCode>
                <c:ptCount val="6"/>
                <c:pt idx="0">
                  <c:v>15</c:v>
                </c:pt>
                <c:pt idx="1">
                  <c:v>19</c:v>
                </c:pt>
                <c:pt idx="2">
                  <c:v>23</c:v>
                </c:pt>
                <c:pt idx="3">
                  <c:v>25</c:v>
                </c:pt>
                <c:pt idx="4">
                  <c:v>32</c:v>
                </c:pt>
                <c:pt idx="5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36-4A18-9B7E-CA6ADD4CB196}"/>
            </c:ext>
          </c:extLst>
        </c:ser>
        <c:ser>
          <c:idx val="2"/>
          <c:order val="2"/>
          <c:tx>
            <c:strRef>
              <c:f>'Profit Forecast'!$A$6</c:f>
              <c:strCache>
                <c:ptCount val="1"/>
                <c:pt idx="0">
                  <c:v>In House Entertainment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Forecast'!$B$6:$G$6</c:f>
              <c:numCache>
                <c:formatCode>[$€-2]\ #,##0;[Red][$€-2]\ #,##0</c:formatCode>
                <c:ptCount val="6"/>
                <c:pt idx="0">
                  <c:v>32</c:v>
                </c:pt>
                <c:pt idx="1">
                  <c:v>37</c:v>
                </c:pt>
                <c:pt idx="2">
                  <c:v>42</c:v>
                </c:pt>
                <c:pt idx="3">
                  <c:v>46</c:v>
                </c:pt>
                <c:pt idx="4">
                  <c:v>49</c:v>
                </c:pt>
                <c:pt idx="5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36-4A18-9B7E-CA6ADD4CB196}"/>
            </c:ext>
          </c:extLst>
        </c:ser>
        <c:ser>
          <c:idx val="3"/>
          <c:order val="3"/>
          <c:tx>
            <c:strRef>
              <c:f>'Profit Forecast'!$A$7</c:f>
              <c:strCache>
                <c:ptCount val="1"/>
                <c:pt idx="0">
                  <c:v>Duty Free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Forecast'!$B$7:$G$7</c:f>
              <c:numCache>
                <c:formatCode>[$€-2]\ #,##0;[Red][$€-2]\ #,##0</c:formatCode>
                <c:ptCount val="6"/>
                <c:pt idx="0">
                  <c:v>111</c:v>
                </c:pt>
                <c:pt idx="1">
                  <c:v>134</c:v>
                </c:pt>
                <c:pt idx="2">
                  <c:v>157</c:v>
                </c:pt>
                <c:pt idx="3">
                  <c:v>177</c:v>
                </c:pt>
                <c:pt idx="4">
                  <c:v>189</c:v>
                </c:pt>
                <c:pt idx="5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36-4A18-9B7E-CA6ADD4CB196}"/>
            </c:ext>
          </c:extLst>
        </c:ser>
        <c:ser>
          <c:idx val="4"/>
          <c:order val="4"/>
          <c:tx>
            <c:strRef>
              <c:f>'Profit Forecast'!$A$8</c:f>
              <c:strCache>
                <c:ptCount val="1"/>
                <c:pt idx="0">
                  <c:v>Raffle Tickets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Forecast'!$B$8:$G$8</c:f>
              <c:numCache>
                <c:formatCode>[$€-2]\ #,##0;[Red][$€-2]\ #,##0</c:formatCode>
                <c:ptCount val="6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36-4A18-9B7E-CA6ADD4CB196}"/>
            </c:ext>
          </c:extLst>
        </c:ser>
        <c:ser>
          <c:idx val="5"/>
          <c:order val="5"/>
          <c:tx>
            <c:strRef>
              <c:f>'Profit Forecast'!$A$9</c:f>
              <c:strCache>
                <c:ptCount val="1"/>
                <c:pt idx="0">
                  <c:v>Car Hire margin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Forecast'!$B$9:$G$9</c:f>
              <c:numCache>
                <c:formatCode>[$€-2]\ #,##0;[Red][$€-2]\ #,##0</c:formatCode>
                <c:ptCount val="6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36-4A18-9B7E-CA6ADD4CB196}"/>
            </c:ext>
          </c:extLst>
        </c:ser>
        <c:ser>
          <c:idx val="6"/>
          <c:order val="6"/>
          <c:tx>
            <c:strRef>
              <c:f>'Profit Forecast'!$A$10</c:f>
              <c:strCache>
                <c:ptCount val="1"/>
                <c:pt idx="0">
                  <c:v>Hotel Referrals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Forecast'!$B$10:$G$10</c:f>
              <c:numCache>
                <c:formatCode>[$€-2]\ #,##0;[Red][$€-2]\ #,##0</c:formatCode>
                <c:ptCount val="6"/>
                <c:pt idx="0">
                  <c:v>6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18</c:v>
                </c:pt>
                <c:pt idx="5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36-4A18-9B7E-CA6ADD4CB196}"/>
            </c:ext>
          </c:extLst>
        </c:ser>
        <c:ser>
          <c:idx val="7"/>
          <c:order val="7"/>
          <c:tx>
            <c:strRef>
              <c:f>'Profit Forecast'!$A$11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Forecast'!$B$11:$G$11</c:f>
              <c:numCache>
                <c:formatCode>[$€-2]\ #,##0;[Red][$€-2]\ #,##0</c:formatCode>
                <c:ptCount val="6"/>
                <c:pt idx="0">
                  <c:v>495</c:v>
                </c:pt>
                <c:pt idx="1">
                  <c:v>587</c:v>
                </c:pt>
                <c:pt idx="2">
                  <c:v>661</c:v>
                </c:pt>
                <c:pt idx="3">
                  <c:v>738</c:v>
                </c:pt>
                <c:pt idx="4">
                  <c:v>844</c:v>
                </c:pt>
                <c:pt idx="5">
                  <c:v>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736-4A18-9B7E-CA6ADD4CB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3944672"/>
        <c:axId val="1813945088"/>
      </c:barChart>
      <c:catAx>
        <c:axId val="181394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945088"/>
        <c:crosses val="autoZero"/>
        <c:auto val="1"/>
        <c:lblAlgn val="ctr"/>
        <c:lblOffset val="100"/>
        <c:noMultiLvlLbl val="0"/>
      </c:catAx>
      <c:valAx>
        <c:axId val="181394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€-2]\ #,##0;[Red][$€-2]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94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12</xdr:row>
      <xdr:rowOff>66675</xdr:rowOff>
    </xdr:from>
    <xdr:to>
      <xdr:col>0</xdr:col>
      <xdr:colOff>1530215</xdr:colOff>
      <xdr:row>15</xdr:row>
      <xdr:rowOff>13380</xdr:rowOff>
    </xdr:to>
    <xdr:pic macro="[0]!All_Questions_Projet1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49555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209550</xdr:colOff>
      <xdr:row>15</xdr:row>
      <xdr:rowOff>123825</xdr:rowOff>
    </xdr:from>
    <xdr:to>
      <xdr:col>12</xdr:col>
      <xdr:colOff>76200</xdr:colOff>
      <xdr:row>24</xdr:row>
      <xdr:rowOff>85725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3124200"/>
          <a:ext cx="10982325" cy="1676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361949</xdr:colOff>
      <xdr:row>2</xdr:row>
      <xdr:rowOff>128587</xdr:rowOff>
    </xdr:from>
    <xdr:to>
      <xdr:col>22</xdr:col>
      <xdr:colOff>581025</xdr:colOff>
      <xdr:row>23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123825</xdr:colOff>
      <xdr:row>14</xdr:row>
      <xdr:rowOff>66675</xdr:rowOff>
    </xdr:from>
    <xdr:to>
      <xdr:col>0</xdr:col>
      <xdr:colOff>1501640</xdr:colOff>
      <xdr:row>17</xdr:row>
      <xdr:rowOff>13380</xdr:rowOff>
    </xdr:to>
    <xdr:pic macro="[0]!All_Questions_Nex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86702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18</xdr:row>
      <xdr:rowOff>28575</xdr:rowOff>
    </xdr:from>
    <xdr:to>
      <xdr:col>13</xdr:col>
      <xdr:colOff>95250</xdr:colOff>
      <xdr:row>26</xdr:row>
      <xdr:rowOff>180975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3590925"/>
          <a:ext cx="10982325" cy="1676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8"/>
  <sheetViews>
    <sheetView zoomScaleNormal="100" workbookViewId="0">
      <selection activeCell="I12" sqref="I12"/>
    </sheetView>
  </sheetViews>
  <sheetFormatPr defaultRowHeight="15" x14ac:dyDescent="0.25"/>
  <cols>
    <col min="1" max="2" width="24.28515625" customWidth="1"/>
    <col min="3" max="3" width="18.42578125" customWidth="1"/>
    <col min="4" max="8" width="11.5703125" customWidth="1"/>
    <col min="11" max="11" width="11.5703125" customWidth="1"/>
    <col min="12" max="12" width="12" customWidth="1"/>
    <col min="13" max="16" width="11.5703125" customWidth="1"/>
    <col min="17" max="17" width="10.5703125" bestFit="1" customWidth="1"/>
    <col min="18" max="22" width="11.5703125" bestFit="1" customWidth="1"/>
  </cols>
  <sheetData>
    <row r="1" spans="1:15" ht="21" x14ac:dyDescent="0.35">
      <c r="A1" s="10" t="s">
        <v>0</v>
      </c>
      <c r="B1" s="10"/>
      <c r="C1" s="10"/>
      <c r="D1" s="10"/>
      <c r="E1" s="10"/>
      <c r="F1" s="10"/>
      <c r="G1" s="10"/>
    </row>
    <row r="3" spans="1:15" x14ac:dyDescent="0.25">
      <c r="A3" s="1" t="s">
        <v>1</v>
      </c>
      <c r="B3" s="1">
        <v>2017</v>
      </c>
      <c r="C3" s="1">
        <v>2018</v>
      </c>
      <c r="D3" s="1">
        <v>2019</v>
      </c>
      <c r="E3" s="1">
        <v>2020</v>
      </c>
      <c r="F3" s="1">
        <v>2021</v>
      </c>
      <c r="G3" s="1">
        <v>2022</v>
      </c>
    </row>
    <row r="4" spans="1:15" x14ac:dyDescent="0.25">
      <c r="A4" s="2" t="s">
        <v>2</v>
      </c>
      <c r="B4" s="3">
        <v>21000</v>
      </c>
      <c r="C4" s="3">
        <v>38000</v>
      </c>
      <c r="D4" s="3">
        <v>45000</v>
      </c>
      <c r="E4" s="3">
        <v>52000</v>
      </c>
      <c r="F4" s="3">
        <v>59000</v>
      </c>
      <c r="G4" s="3">
        <v>65000</v>
      </c>
    </row>
    <row r="5" spans="1:15" ht="20.25" customHeight="1" x14ac:dyDescent="0.25">
      <c r="A5" s="2" t="s">
        <v>3</v>
      </c>
      <c r="B5" s="4">
        <v>7600</v>
      </c>
      <c r="C5" s="3">
        <v>9000</v>
      </c>
      <c r="D5" s="3">
        <v>11000</v>
      </c>
      <c r="E5" s="3">
        <v>13000</v>
      </c>
      <c r="F5" s="3">
        <v>15000</v>
      </c>
      <c r="G5" s="3">
        <v>17000</v>
      </c>
    </row>
    <row r="6" spans="1:15" x14ac:dyDescent="0.25">
      <c r="A6" s="2" t="s">
        <v>4</v>
      </c>
      <c r="B6" s="3">
        <v>12987</v>
      </c>
      <c r="C6" s="3">
        <v>15000</v>
      </c>
      <c r="D6" s="3">
        <v>17000</v>
      </c>
      <c r="E6" s="3">
        <v>19000</v>
      </c>
      <c r="F6" s="3">
        <v>21000</v>
      </c>
      <c r="G6" s="3">
        <v>23000</v>
      </c>
    </row>
    <row r="7" spans="1:15" x14ac:dyDescent="0.25">
      <c r="A7" s="2" t="s">
        <v>5</v>
      </c>
      <c r="B7" s="3">
        <v>1000</v>
      </c>
      <c r="C7" s="3">
        <v>2000</v>
      </c>
      <c r="D7" s="3">
        <v>4000</v>
      </c>
      <c r="E7" s="3">
        <v>6000</v>
      </c>
      <c r="F7" s="3">
        <v>8000</v>
      </c>
      <c r="G7" s="3">
        <v>10000</v>
      </c>
    </row>
    <row r="8" spans="1:15" x14ac:dyDescent="0.25">
      <c r="A8" s="2" t="s">
        <v>6</v>
      </c>
      <c r="B8" s="3">
        <v>20000</v>
      </c>
      <c r="C8" s="3">
        <v>25000</v>
      </c>
      <c r="D8" s="3">
        <v>29000</v>
      </c>
      <c r="E8" s="3">
        <v>31000</v>
      </c>
      <c r="F8" s="3">
        <v>33000</v>
      </c>
      <c r="G8" s="3">
        <v>36000</v>
      </c>
    </row>
    <row r="9" spans="1:15" x14ac:dyDescent="0.25">
      <c r="A9" s="2" t="s">
        <v>7</v>
      </c>
      <c r="B9" s="3">
        <v>98000</v>
      </c>
      <c r="C9" s="3">
        <v>124000</v>
      </c>
      <c r="D9" s="3">
        <v>140000</v>
      </c>
      <c r="E9" s="3">
        <v>150000</v>
      </c>
      <c r="F9" s="3">
        <v>156000</v>
      </c>
      <c r="G9" s="3">
        <v>170000</v>
      </c>
    </row>
    <row r="10" spans="1:15" x14ac:dyDescent="0.25">
      <c r="A10" s="2" t="s">
        <v>8</v>
      </c>
      <c r="B10" s="3">
        <v>56000</v>
      </c>
      <c r="C10" s="3">
        <v>68000</v>
      </c>
      <c r="D10" s="3">
        <v>74000</v>
      </c>
      <c r="E10" s="3">
        <v>80000</v>
      </c>
      <c r="F10" s="3">
        <v>85000</v>
      </c>
      <c r="G10" s="3">
        <v>90000</v>
      </c>
    </row>
    <row r="11" spans="1:15" x14ac:dyDescent="0.25">
      <c r="A11" s="5" t="s">
        <v>9</v>
      </c>
      <c r="B11" s="6">
        <f>SUM(B4:B10)</f>
        <v>216587</v>
      </c>
      <c r="C11" s="7">
        <f>SUM(C4:C10)</f>
        <v>281000</v>
      </c>
      <c r="D11" s="7">
        <f t="shared" ref="D11:G11" si="0">SUM(D4:D10)</f>
        <v>320000</v>
      </c>
      <c r="E11" s="7">
        <f t="shared" si="0"/>
        <v>351000</v>
      </c>
      <c r="F11" s="7">
        <f t="shared" si="0"/>
        <v>377000</v>
      </c>
      <c r="G11" s="7">
        <f t="shared" si="0"/>
        <v>411000</v>
      </c>
    </row>
    <row r="12" spans="1:15" x14ac:dyDescent="0.25">
      <c r="O12" s="8"/>
    </row>
    <row r="38" spans="4:5" x14ac:dyDescent="0.25">
      <c r="D38" s="11"/>
      <c r="E38" s="11"/>
    </row>
  </sheetData>
  <mergeCells count="2">
    <mergeCell ref="A1:G1"/>
    <mergeCell ref="D38:E38"/>
  </mergeCells>
  <conditionalFormatting sqref="G11">
    <cfRule type="cellIs" dxfId="1" priority="1" operator="greaterThan">
      <formula>500000000</formula>
    </cfRule>
  </conditionalFormatting>
  <pageMargins left="0.70866141732283472" right="0.70866141732283472" top="0.74803149606299213" bottom="0.74803149606299213" header="0.31496062992125984" footer="0.31496062992125984"/>
  <pageSetup paperSize="9" scale="85" orientation="landscape" horizontalDpi="0" verticalDpi="0" r:id="rId1"/>
  <headerFooter>
    <oddHeader>&amp;L&amp;G&amp;CMurphy&amp;RUdemy</oddHeader>
    <oddFooter>&amp;L&amp;P of &amp;N&amp;C&amp;D&amp;T&amp;Z&amp;F&amp;R&amp;F&amp;A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8"/>
  <sheetViews>
    <sheetView tabSelected="1" zoomScaleNormal="100" workbookViewId="0">
      <selection sqref="A1:G1"/>
    </sheetView>
  </sheetViews>
  <sheetFormatPr defaultRowHeight="15" x14ac:dyDescent="0.25"/>
  <cols>
    <col min="1" max="2" width="24.28515625" customWidth="1"/>
    <col min="3" max="7" width="11.5703125" customWidth="1"/>
    <col min="12" max="13" width="11.140625" bestFit="1" customWidth="1"/>
  </cols>
  <sheetData>
    <row r="1" spans="1:7" ht="25.5" customHeight="1" x14ac:dyDescent="0.3">
      <c r="A1" s="12" t="s">
        <v>10</v>
      </c>
      <c r="B1" s="12"/>
      <c r="C1" s="12"/>
      <c r="D1" s="12"/>
      <c r="E1" s="12"/>
      <c r="F1" s="12"/>
      <c r="G1" s="12"/>
    </row>
    <row r="3" spans="1:7" x14ac:dyDescent="0.25">
      <c r="A3" s="1" t="s">
        <v>1</v>
      </c>
      <c r="B3" s="1">
        <v>2017</v>
      </c>
      <c r="C3" s="1">
        <v>2018</v>
      </c>
      <c r="D3" s="1">
        <v>2019</v>
      </c>
      <c r="E3" s="1">
        <v>2020</v>
      </c>
      <c r="F3" s="1">
        <v>2021</v>
      </c>
      <c r="G3" s="1">
        <v>2022</v>
      </c>
    </row>
    <row r="4" spans="1:7" x14ac:dyDescent="0.25">
      <c r="A4" s="2" t="s">
        <v>11</v>
      </c>
      <c r="B4" s="9">
        <v>324</v>
      </c>
      <c r="C4" s="9">
        <v>378</v>
      </c>
      <c r="D4" s="9">
        <v>412</v>
      </c>
      <c r="E4" s="9">
        <v>455</v>
      </c>
      <c r="F4" s="9">
        <v>533</v>
      </c>
      <c r="G4" s="9">
        <v>634</v>
      </c>
    </row>
    <row r="5" spans="1:7" x14ac:dyDescent="0.25">
      <c r="A5" s="2" t="s">
        <v>12</v>
      </c>
      <c r="B5" s="9">
        <v>15</v>
      </c>
      <c r="C5" s="9">
        <v>19</v>
      </c>
      <c r="D5" s="9">
        <v>23</v>
      </c>
      <c r="E5" s="9">
        <v>25</v>
      </c>
      <c r="F5" s="9">
        <v>32</v>
      </c>
      <c r="G5" s="9">
        <v>43</v>
      </c>
    </row>
    <row r="6" spans="1:7" x14ac:dyDescent="0.25">
      <c r="A6" s="2" t="s">
        <v>13</v>
      </c>
      <c r="B6" s="9">
        <v>32</v>
      </c>
      <c r="C6" s="9">
        <v>37</v>
      </c>
      <c r="D6" s="9">
        <v>42</v>
      </c>
      <c r="E6" s="9">
        <v>46</v>
      </c>
      <c r="F6" s="9">
        <v>49</v>
      </c>
      <c r="G6" s="9">
        <v>51</v>
      </c>
    </row>
    <row r="7" spans="1:7" x14ac:dyDescent="0.25">
      <c r="A7" s="2" t="s">
        <v>14</v>
      </c>
      <c r="B7" s="9">
        <v>111</v>
      </c>
      <c r="C7" s="9">
        <v>134</v>
      </c>
      <c r="D7" s="9">
        <v>157</v>
      </c>
      <c r="E7" s="9">
        <v>177</v>
      </c>
      <c r="F7" s="9">
        <v>189</v>
      </c>
      <c r="G7" s="9">
        <v>210</v>
      </c>
    </row>
    <row r="8" spans="1:7" x14ac:dyDescent="0.25">
      <c r="A8" s="2" t="s">
        <v>15</v>
      </c>
      <c r="B8" s="9">
        <v>2</v>
      </c>
      <c r="C8" s="9">
        <v>4</v>
      </c>
      <c r="D8" s="9">
        <v>6</v>
      </c>
      <c r="E8" s="9">
        <v>8</v>
      </c>
      <c r="F8" s="9">
        <v>10</v>
      </c>
      <c r="G8" s="9">
        <v>12</v>
      </c>
    </row>
    <row r="9" spans="1:7" x14ac:dyDescent="0.25">
      <c r="A9" s="2" t="s">
        <v>16</v>
      </c>
      <c r="B9" s="9">
        <v>5</v>
      </c>
      <c r="C9" s="9">
        <v>7</v>
      </c>
      <c r="D9" s="9">
        <v>9</v>
      </c>
      <c r="E9" s="9">
        <v>11</v>
      </c>
      <c r="F9" s="9">
        <v>13</v>
      </c>
      <c r="G9" s="9">
        <v>14</v>
      </c>
    </row>
    <row r="10" spans="1:7" x14ac:dyDescent="0.25">
      <c r="A10" s="2" t="s">
        <v>17</v>
      </c>
      <c r="B10" s="9">
        <v>6</v>
      </c>
      <c r="C10" s="9">
        <v>8</v>
      </c>
      <c r="D10" s="9">
        <v>12</v>
      </c>
      <c r="E10" s="9">
        <v>16</v>
      </c>
      <c r="F10" s="9">
        <v>18</v>
      </c>
      <c r="G10" s="9">
        <v>23</v>
      </c>
    </row>
    <row r="11" spans="1:7" x14ac:dyDescent="0.25">
      <c r="A11" s="2" t="s">
        <v>9</v>
      </c>
      <c r="B11" s="9">
        <f>SUM(B4:B10)</f>
        <v>495</v>
      </c>
      <c r="C11" s="9">
        <f>SUM(C4:C10)</f>
        <v>587</v>
      </c>
      <c r="D11" s="9">
        <f t="shared" ref="D11:G11" si="0">SUM(D4:D10)</f>
        <v>661</v>
      </c>
      <c r="E11" s="9">
        <f t="shared" si="0"/>
        <v>738</v>
      </c>
      <c r="F11" s="9">
        <f t="shared" si="0"/>
        <v>844</v>
      </c>
      <c r="G11" s="9">
        <f t="shared" si="0"/>
        <v>987</v>
      </c>
    </row>
    <row r="38" spans="3:4" x14ac:dyDescent="0.25">
      <c r="C38" s="11" t="s">
        <v>18</v>
      </c>
      <c r="D38" s="11"/>
    </row>
  </sheetData>
  <mergeCells count="2">
    <mergeCell ref="A1:G1"/>
    <mergeCell ref="C38:D38"/>
  </mergeCells>
  <conditionalFormatting sqref="G11">
    <cfRule type="cellIs" dxfId="0" priority="1" operator="greaterThan">
      <formula>500000000</formula>
    </cfRule>
  </conditionalFormatting>
  <pageMargins left="0.7" right="0.7" top="0.75" bottom="0.75" header="0.3" footer="0.3"/>
  <pageSetup paperSize="9" scale="86" orientation="landscape" r:id="rId1"/>
  <headerFooter>
    <oddHeader>&amp;L&amp;G</oddHeader>
  </headerFooter>
  <drawing r:id="rId2"/>
  <legacyDrawing r:id="rId3"/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Marketing Plan Budget</vt:lpstr>
      <vt:lpstr>Profit Forecast</vt:lpstr>
      <vt:lpstr>Plan</vt:lpstr>
      <vt:lpstr>'Marketing Plan Budget'!Print_Titles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Murphy, David</dc:creator>
  <cp:lastModifiedBy>DMurphy</cp:lastModifiedBy>
  <cp:lastPrinted>2018-11-29T17:08:06Z</cp:lastPrinted>
  <dcterms:created xsi:type="dcterms:W3CDTF">2018-11-28T14:27:53Z</dcterms:created>
  <dcterms:modified xsi:type="dcterms:W3CDTF">2019-01-30T09:43:57Z</dcterms:modified>
</cp:coreProperties>
</file>